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9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10.xml" ContentType="application/vnd.openxmlformats-officedocument.drawingml.char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drawings/charts/chart11.xml" ContentType="application/vnd.openxmlformats-officedocument.drawingml.char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drawings/charts/chart12.xml" ContentType="application/vnd.openxmlformats-officedocument.drawingml.char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drawings/charts/chart13.xml" ContentType="application/vnd.openxmlformats-officedocument.drawingml.char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drawings/charts/chart14.xml" ContentType="application/vnd.openxmlformats-officedocument.drawingml.char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drawings/charts/chart15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815ec2590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1 Departamentos" sheetId="1" r:id="Re98d081b4300449e"/>
    <x:sheet xmlns:r="http://schemas.openxmlformats.org/officeDocument/2006/relationships" name="72 Municipios Antioquia" sheetId="2" r:id="Rd01850627f1d4b40"/>
    <x:sheet xmlns:r="http://schemas.openxmlformats.org/officeDocument/2006/relationships" name="73 Manzaloca" sheetId="3" r:id="R069a140ec19145af"/>
    <x:sheet xmlns:r="http://schemas.openxmlformats.org/officeDocument/2006/relationships" name="74 Menores ventas" sheetId="4" r:id="R2e282db8630943b5"/>
    <x:sheet xmlns:r="http://schemas.openxmlformats.org/officeDocument/2006/relationships" name="75 1 Centro Oriente" sheetId="5" r:id="R3151bfe59ed34689"/>
    <x:sheet xmlns:r="http://schemas.openxmlformats.org/officeDocument/2006/relationships" name="75 2 Caribe" sheetId="6" r:id="R6e55be78bc3c410b"/>
    <x:sheet xmlns:r="http://schemas.openxmlformats.org/officeDocument/2006/relationships" name="75 3 Pacifico" sheetId="7" r:id="R13cbc760fea24d13"/>
    <x:sheet xmlns:r="http://schemas.openxmlformats.org/officeDocument/2006/relationships" name="75 4 Eje Cafetero - Antio" sheetId="8" r:id="Rc6db34c64804479e"/>
    <x:sheet xmlns:r="http://schemas.openxmlformats.org/officeDocument/2006/relationships" name="75 5 Centro Sur" sheetId="9" r:id="R52b195b9ff664abd"/>
    <x:sheet xmlns:r="http://schemas.openxmlformats.org/officeDocument/2006/relationships" name="75 6 Llano" sheetId="10" r:id="R0dd848ca8d41477c"/>
    <x:sheet xmlns:r="http://schemas.openxmlformats.org/officeDocument/2006/relationships" name="76 Antioquia productos" sheetId="11" r:id="Reca8c5efa8c84645"/>
    <x:sheet xmlns:r="http://schemas.openxmlformats.org/officeDocument/2006/relationships" name="10 Mediciones" sheetId="12" r:id="Rc5b023fe9b784141"/>
    <x:sheet xmlns:r="http://schemas.openxmlformats.org/officeDocument/2006/relationships" name="6 Correcciones" sheetId="13" r:id="Rbe036637b0c4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#,##0.000"/>
    <x:numFmt numFmtId="203" formatCode="#,##0.00"/>
  </x:numFmts>
  <x:fonts count="5">
    <x:font>
      <x:sz val="11"/>
      <x:name val="Carlito"/>
    </x:font>
    <x:font>
      <x:sz val="11"/>
      <x:color rgb="FF20262C"/>
      <x:name val="Arial"/>
    </x:font>
    <x:font>
      <x:b/>
      <x:sz val="18"/>
      <x:color rgb="FF20262C"/>
      <x:name val="Arial"/>
    </x:font>
    <x:font>
      <x:sz val="10"/>
      <x:color rgb="FF46545D"/>
      <x:name val="Arial"/>
    </x:font>
    <x:font>
      <x:b/>
      <x:sz val="11"/>
      <x:color rgb="FF163E5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1"/>
      </x:patternFill>
    </x:fill>
  </x:fills>
  <x:borders count="2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b3ff87ac0461d" /><Relationship Type="http://schemas.openxmlformats.org/officeDocument/2006/relationships/theme" Target="/xl/theme/theme1.xml" Id="R13e3d426cace4fc4" /><Relationship Type="http://schemas.openxmlformats.org/officeDocument/2006/relationships/sharedStrings" Target="/xl/sharedStrings.xml" Id="R084a1c843a414fd3" /><Relationship Type="http://schemas.openxmlformats.org/officeDocument/2006/relationships/worksheet" Target="/xl/worksheets/sheet1.xml" Id="Re98d081b4300449e" /><Relationship Type="http://schemas.openxmlformats.org/officeDocument/2006/relationships/worksheet" Target="/xl/worksheets/sheet2.xml" Id="Rd01850627f1d4b40" /><Relationship Type="http://schemas.openxmlformats.org/officeDocument/2006/relationships/worksheet" Target="/xl/worksheets/sheet3.xml" Id="R069a140ec19145af" /><Relationship Type="http://schemas.openxmlformats.org/officeDocument/2006/relationships/worksheet" Target="/xl/worksheets/sheet4.xml" Id="R2e282db8630943b5" /><Relationship Type="http://schemas.openxmlformats.org/officeDocument/2006/relationships/worksheet" Target="/xl/worksheets/sheet5.xml" Id="R3151bfe59ed34689" /><Relationship Type="http://schemas.openxmlformats.org/officeDocument/2006/relationships/worksheet" Target="/xl/worksheets/sheet6.xml" Id="R6e55be78bc3c410b" /><Relationship Type="http://schemas.openxmlformats.org/officeDocument/2006/relationships/worksheet" Target="/xl/worksheets/sheet7.xml" Id="R13cbc760fea24d13" /><Relationship Type="http://schemas.openxmlformats.org/officeDocument/2006/relationships/worksheet" Target="/xl/worksheets/sheet8.xml" Id="Rc6db34c64804479e" /><Relationship Type="http://schemas.openxmlformats.org/officeDocument/2006/relationships/worksheet" Target="/xl/worksheets/sheet9.xml" Id="R52b195b9ff664abd" /><Relationship Type="http://schemas.openxmlformats.org/officeDocument/2006/relationships/worksheet" Target="/xl/worksheets/sheet10.xml" Id="R0dd848ca8d41477c" /><Relationship Type="http://schemas.openxmlformats.org/officeDocument/2006/relationships/worksheet" Target="/xl/worksheets/sheet11.xml" Id="Reca8c5efa8c84645" /><Relationship Type="http://schemas.openxmlformats.org/officeDocument/2006/relationships/worksheet" Target="/xl/worksheets/sheet12.xml" Id="Rc5b023fe9b784141" /><Relationship Type="http://schemas.openxmlformats.org/officeDocument/2006/relationships/worksheet" Target="/xl/worksheets/sheet13.xml" Id="Rbe036637b0c44e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bfceecb5bd4d77" /><Relationship Type="http://schemas.openxmlformats.org/officeDocument/2006/relationships/chart" Target="/xl/drawings/charts/chart2.xml" Id="R3dd2152768cb4f0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ae8540de0584546" /><Relationship Type="http://schemas.openxmlformats.org/officeDocument/2006/relationships/chart" Target="/xl/drawings/charts/chart4.xml" Id="R4f18e29c0ea3412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4c00e7615384e99" /><Relationship Type="http://schemas.openxmlformats.org/officeDocument/2006/relationships/chart" Target="/xl/drawings/charts/chart6.xml" Id="R09e4d40db591426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d999463b3eea4173" /><Relationship Type="http://schemas.openxmlformats.org/officeDocument/2006/relationships/chart" Target="/xl/drawings/charts/chart8.xml" Id="R4ef620826bcf408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0582698817b6476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359a7f28096f4e0e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125c684b0cbf40db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55be6ab96d424b8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d84117abef0c44ad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8211f36e973248cc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d4942dc9d58c4f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Pareto — barras ordenadas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COP</c:v>
          </c:tx>
          <c:spPr>
            <a:solidFill xmlns:a="http://schemas.openxmlformats.org/drawingml/2006/main">
              <a:srgbClr val="286B8A"/>
            </a:solidFill>
          </c:spPr>
          <c:cat>
            <c:strRef>
              <c:f>'71 Departamentos'!$A$6:$A$13</c:f>
              <c:strCache>
                <c:ptCount val="0"/>
              </c:strCache>
            </c:strRef>
          </c:cat>
          <c:val>
            <c:numRef>
              <c:f>'71 Departamentos'!$B$6:$B$13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Categorías de la consulta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COP</a:t>
                </a:r>
              </a:p>
            </c:rich>
          </c:tx>
          <c:overlay val="0"/>
        </c:title>
        <c:numFmt formatCode="0,,&quot; 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Porcentaje acumulado de las categorías seleccionadas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Acumulado</c:v>
          </c:tx>
          <c:spPr>
            <a:solidFill xmlns:a="http://schemas.openxmlformats.org/drawingml/2006/main">
              <a:srgbClr val="286B8A"/>
            </a:solidFill>
            <a:ln xmlns:a="http://schemas.openxmlformats.org/drawingml/2006/main" w="19050">
              <a:solidFill>
                <a:srgbClr val="B45E23"/>
              </a:solidFill>
              <a:prstDash val="solid"/>
            </a:ln>
          </c:spPr>
          <c:marker>
            <c:symbol val="none"/>
          </c:marker>
          <c:cat>
            <c:strRef>
              <c:f>'71 Departamentos'!$A$6:$A$13</c:f>
              <c:strCache>
                <c:ptCount val="0"/>
              </c:strCache>
            </c:strRef>
          </c:cat>
          <c:val>
            <c:numRef>
              <c:f>'71 Departamentos'!$D$6:$D$13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Categorías de la consulta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Porcentaje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Pareto — barras ordenadas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Unidades</c:v>
          </c:tx>
          <c:spPr>
            <a:solidFill xmlns:a="http://schemas.openxmlformats.org/drawingml/2006/main">
              <a:srgbClr val="286B8A"/>
            </a:solidFill>
          </c:spPr>
          <c:cat>
            <c:strRef>
              <c:f>'72 Municipios Antioquia'!$A$6:$A$20</c:f>
              <c:strCache>
                <c:ptCount val="0"/>
              </c:strCache>
            </c:strRef>
          </c:cat>
          <c:val>
            <c:numRef>
              <c:f>'72 Municipios Antioquia'!$B$6:$B$20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Categorías de la consulta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Unidades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Porcentaje acumulado de las categorías seleccionadas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Acumulado</c:v>
          </c:tx>
          <c:spPr>
            <a:solidFill xmlns:a="http://schemas.openxmlformats.org/drawingml/2006/main">
              <a:srgbClr val="286B8A"/>
            </a:solidFill>
            <a:ln xmlns:a="http://schemas.openxmlformats.org/drawingml/2006/main" w="19050">
              <a:solidFill>
                <a:srgbClr val="B45E23"/>
              </a:solidFill>
              <a:prstDash val="solid"/>
            </a:ln>
          </c:spPr>
          <c:marker>
            <c:symbol val="none"/>
          </c:marker>
          <c:cat>
            <c:strRef>
              <c:f>'72 Municipios Antioquia'!$A$6:$A$20</c:f>
              <c:strCache>
                <c:ptCount val="0"/>
              </c:strCache>
            </c:strRef>
          </c:cat>
          <c:val>
            <c:numRef>
              <c:f>'72 Municipios Antioquia'!$D$6:$D$20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Categorías de la consulta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Porcentaje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Pareto — barras ordenadas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Unidades</c:v>
          </c:tx>
          <c:spPr>
            <a:solidFill xmlns:a="http://schemas.openxmlformats.org/drawingml/2006/main">
              <a:srgbClr val="286B8A"/>
            </a:solidFill>
          </c:spPr>
          <c:cat>
            <c:strRef>
              <c:f>'73 Manzaloca'!$A$6:$A$10</c:f>
              <c:strCache>
                <c:ptCount val="0"/>
              </c:strCache>
            </c:strRef>
          </c:cat>
          <c:val>
            <c:numRef>
              <c:f>'73 Manzaloca'!$B$6:$B$10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Categorías de la consulta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Unidades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Porcentaje acumulado de las categorías seleccionadas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Acumulado</c:v>
          </c:tx>
          <c:spPr>
            <a:solidFill xmlns:a="http://schemas.openxmlformats.org/drawingml/2006/main">
              <a:srgbClr val="286B8A"/>
            </a:solidFill>
            <a:ln xmlns:a="http://schemas.openxmlformats.org/drawingml/2006/main" w="19050">
              <a:solidFill>
                <a:srgbClr val="B45E23"/>
              </a:solidFill>
              <a:prstDash val="solid"/>
            </a:ln>
          </c:spPr>
          <c:marker>
            <c:symbol val="none"/>
          </c:marker>
          <c:cat>
            <c:strRef>
              <c:f>'73 Manzaloca'!$A$6:$A$10</c:f>
              <c:strCache>
                <c:ptCount val="0"/>
              </c:strCache>
            </c:strRef>
          </c:cat>
          <c:val>
            <c:numRef>
              <c:f>'73 Manzaloca'!$D$6:$D$10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Categorías de la consulta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Porcentaje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Pareto — barras ordenadas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COP</c:v>
          </c:tx>
          <c:spPr>
            <a:solidFill xmlns:a="http://schemas.openxmlformats.org/drawingml/2006/main">
              <a:srgbClr val="286B8A"/>
            </a:solidFill>
          </c:spPr>
          <c:cat>
            <c:strRef>
              <c:f>'74 Menores ventas'!$A$6:$A$10</c:f>
              <c:strCache>
                <c:ptCount val="0"/>
              </c:strCache>
            </c:strRef>
          </c:cat>
          <c:val>
            <c:numRef>
              <c:f>'74 Menores ventas'!$B$6:$B$10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Categorías de la consulta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COP</a:t>
                </a:r>
              </a:p>
            </c:rich>
          </c:tx>
          <c:overlay val="0"/>
        </c:title>
        <c:numFmt formatCode="0,&quot; 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Porcentaje acumulado de las categorías seleccionadas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Acumulado</c:v>
          </c:tx>
          <c:spPr>
            <a:solidFill xmlns:a="http://schemas.openxmlformats.org/drawingml/2006/main">
              <a:srgbClr val="286B8A"/>
            </a:solidFill>
            <a:ln xmlns:a="http://schemas.openxmlformats.org/drawingml/2006/main" w="19050">
              <a:solidFill>
                <a:srgbClr val="B45E23"/>
              </a:solidFill>
              <a:prstDash val="solid"/>
            </a:ln>
          </c:spPr>
          <c:marker>
            <c:symbol val="none"/>
          </c:marker>
          <c:cat>
            <c:strRef>
              <c:f>'74 Menores ventas'!$A$6:$A$10</c:f>
              <c:strCache>
                <c:ptCount val="0"/>
              </c:strCache>
            </c:strRef>
          </c:cat>
          <c:val>
            <c:numRef>
              <c:f>'74 Menores ventas'!$D$6:$D$10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Categorías de la consulta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Porcentaje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Unidades por producto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Unidades</c:v>
          </c:tx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'75 1 Centro Oriente'!$A$6:$A$9</c:f>
              <c:strCache>
                <c:ptCount val="0"/>
              </c:strCache>
            </c:strRef>
          </c:cat>
          <c:val>
            <c:numRef>
              <c:f>'75 1 Centro Oriente'!$B$6:$B$9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Unidades por producto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Unidades</c:v>
          </c:tx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'75 2 Caribe'!$A$6:$A$9</c:f>
              <c:strCache>
                <c:ptCount val="0"/>
              </c:strCache>
            </c:strRef>
          </c:cat>
          <c:val>
            <c:numRef>
              <c:f>'75 2 Caribe'!$B$6:$B$9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Unidades por producto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Unidades</c:v>
          </c:tx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'75 3 Pacifico'!$A$6:$A$9</c:f>
              <c:strCache>
                <c:ptCount val="0"/>
              </c:strCache>
            </c:strRef>
          </c:cat>
          <c:val>
            <c:numRef>
              <c:f>'75 3 Pacifico'!$B$6:$B$9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Unidades por producto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Unidades</c:v>
          </c:tx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'75 4 Eje Cafetero - Antio'!$A$6:$A$9</c:f>
              <c:strCache>
                <c:ptCount val="0"/>
              </c:strCache>
            </c:strRef>
          </c:cat>
          <c:val>
            <c:numRef>
              <c:f>'75 4 Eje Cafetero - Antio'!$B$6:$B$9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Unidades por producto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Unidades</c:v>
          </c:tx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'75 5 Centro Sur'!$A$6:$A$9</c:f>
              <c:strCache>
                <c:ptCount val="0"/>
              </c:strCache>
            </c:strRef>
          </c:cat>
          <c:val>
            <c:numRef>
              <c:f>'75 5 Centro Sur'!$B$6:$B$9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Unidades por producto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Unidades</c:v>
          </c:tx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'75 6 Llano'!$A$6:$A$9</c:f>
              <c:strCache>
                <c:ptCount val="0"/>
              </c:strCache>
            </c:strRef>
          </c:cat>
          <c:val>
            <c:numRef>
              <c:f>'75 6 Llano'!$B$6:$B$9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Monto por producto en Antioquia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COP</c:v>
          </c:tx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200"/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'76 Antioquia productos'!$A$6:$A$9</c:f>
              <c:strCache>
                <c:ptCount val="0"/>
              </c:strCache>
            </c:strRef>
          </c:cat>
          <c:val>
            <c:numRef>
              <c:f>'76 Antioquia productos'!$B$6:$B$9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bfceecb5bd4d77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d2152768cb4f0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e8540de0584546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18e29c0ea3412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c00e7615384e99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e4d40db591426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9463b3eea4173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f620826bcf408f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82698817b6476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9a7f28096f4e0e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5c684b0cbf40db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be6ab96d424b8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4117abef0c44ad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1f36e973248cc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942dc9d58c4ff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c00e026ba04f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278504e1d8d42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fd7719aa5c942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6415f9fe0254e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02a75221480048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a34735ca85f841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24582bcda8a14d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bd08265df3de40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78fb7e8ebda345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84d9179f1acb4e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9798a21e922e42a6" /></Relationships>
</file>

<file path=xl/worksheets/sheet1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7.1 Ocho departamentos con mayor monto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Fuente: 07-1-departamentos-monto.sql sobre vista_operaciones limpia. Acumulado sobre el subtotal seleccionado.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Categoría</x:v>
      </x:c>
      <x:c r="B5" s="8" t="str">
        <x:v>COP</x:v>
      </x:c>
      <x:c r="C5" s="8" t="str">
        <x:v>Participación</x:v>
      </x:c>
      <x:c r="D5" s="8" t="str">
        <x:v>Acumulado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6" customHeight="1">
      <x:c r="A6" s="3" t="str">
        <x:v>Antioquia</x:v>
      </x:c>
      <x:c r="B6" s="9" t="n">
        <x:v>105759800</x:v>
      </x:c>
      <x:c r="C6" s="10" t="n">
        <x:f>B6/SUM($B$6:$B$13)</x:f>
        <x:v>0.19472399349912276</x:v>
      </x:c>
      <x:c r="D6" s="10" t="n">
        <x:f>SUM($B$6:B6)/SUM($B$6:$B$13)</x:f>
        <x:v>0.19472399349912276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6" customHeight="1">
      <x:c r="A7" s="3" t="str">
        <x:v>Boyaca</x:v>
      </x:c>
      <x:c r="B7" s="9" t="n">
        <x:v>99513900</x:v>
      </x:c>
      <x:c r="C7" s="10" t="n">
        <x:f>B7/SUM($B$6:$B$13)</x:f>
        <x:v>0.18322409853907015</x:v>
      </x:c>
      <x:c r="D7" s="10" t="n">
        <x:f>SUM($B$6:B7)/SUM($B$6:$B$13)</x:f>
        <x:v>0.3779480920381929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6" customHeight="1">
      <x:c r="A8" s="3" t="str">
        <x:v>Cundinamarca</x:v>
      </x:c>
      <x:c r="B8" s="9" t="n">
        <x:v>93349300</x:v>
      </x:c>
      <x:c r="C8" s="10" t="n">
        <x:f>B8/SUM($B$6:$B$13)</x:f>
        <x:v>0.1718738924085301</x:v>
      </x:c>
      <x:c r="D8" s="10" t="n">
        <x:f>SUM($B$6:B8)/SUM($B$6:$B$13)</x:f>
        <x:v>0.549821984446723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6" customHeight="1">
      <x:c r="A9" s="3" t="str">
        <x:v>Santander</x:v>
      </x:c>
      <x:c r="B9" s="9" t="n">
        <x:v>73633600</x:v>
      </x:c>
      <x:c r="C9" s="10" t="n">
        <x:f>B9/SUM($B$6:$B$13)</x:f>
        <x:v>0.1355735227157862</x:v>
      </x:c>
      <x:c r="D9" s="10" t="n">
        <x:f>SUM($B$6:B9)/SUM($B$6:$B$13)</x:f>
        <x:v>0.6853955071625092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6" customHeight="1">
      <x:c r="A10" s="3" t="str">
        <x:v>Nariño</x:v>
      </x:c>
      <x:c r="B10" s="9" t="n">
        <x:v>54167600</x:v>
      </x:c>
      <x:c r="C10" s="10" t="n">
        <x:f>B10/SUM($B$6:$B$13)</x:f>
        <x:v>0.09973289841946639</x:v>
      </x:c>
      <x:c r="D10" s="10" t="n">
        <x:f>SUM($B$6:B10)/SUM($B$6:$B$13)</x:f>
        <x:v>0.7851284055819756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36" customHeight="1">
      <x:c r="A11" s="3" t="str">
        <x:v>Bolivar</x:v>
      </x:c>
      <x:c r="B11" s="9" t="n">
        <x:v>40279200</x:v>
      </x:c>
      <x:c r="C11" s="10" t="n">
        <x:f>B11/SUM($B$6:$B$13)</x:f>
        <x:v>0.07416170112793202</x:v>
      </x:c>
      <x:c r="D11" s="10" t="n">
        <x:f>SUM($B$6:B11)/SUM($B$6:$B$13)</x:f>
        <x:v>0.8592901067099077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36" customHeight="1">
      <x:c r="A12" s="3" t="str">
        <x:v>Tolima</x:v>
      </x:c>
      <x:c r="B12" s="9" t="n">
        <x:v>39817700</x:v>
      </x:c>
      <x:c r="C12" s="10" t="n">
        <x:f>B12/SUM($B$6:$B$13)</x:f>
        <x:v>0.07331199147454913</x:v>
      </x:c>
      <x:c r="D12" s="10" t="n">
        <x:f>SUM($B$6:B12)/SUM($B$6:$B$13)</x:f>
        <x:v>0.9326020981844568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36" customHeight="1">
      <x:c r="A13" s="3" t="str">
        <x:v>Valle del Cauca</x:v>
      </x:c>
      <x:c r="B13" s="9" t="n">
        <x:v>36605600</x:v>
      </x:c>
      <x:c r="C13" s="10" t="n">
        <x:f>B13/SUM($B$6:$B$13)</x:f>
        <x:v>0.06739790181554323</x:v>
      </x:c>
      <x:c r="D13" s="10" t="n">
        <x:f>SUM($B$6:B13)/SUM($B$6:$B$13)</x:f>
        <x:v>1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 t="str">
        <x:v>Subtotal</x:v>
      </x:c>
      <x:c r="B15" s="9" t="n">
        <x:f>SUM(B6:B13)</x:f>
        <x:v>543126700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3" t="str">
        <x:v>Lectura de Pareto en dos paneles: barras de mayor a menor y curva de porcentaje acumulado. Ambos gráficos son editables y usan las mismas categorías.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  <x:mergeCell ref="A45:Q46"/>
  </x:mergeCells>
  <x:pageMargins left="0.7" right="0.7" top="0.75" bottom="0.75" header="0.3" footer="0.3"/>
  <x:drawing xmlns:r="http://schemas.openxmlformats.org/officeDocument/2006/relationships" r:id="R0ec00e026ba04fe1"/>
</x:worksheet>
</file>

<file path=xl/worksheets/sheet2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7.2 Quince municipios de Antioquia con más unidades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Fuente: 07-2-antioquia-municipios.sql sobre vista_operaciones limpia. Acumulado sobre el subtotal seleccionado.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Categoría</x:v>
      </x:c>
      <x:c r="B5" s="8" t="str">
        <x:v>Unidades</x:v>
      </x:c>
      <x:c r="C5" s="8" t="str">
        <x:v>Participación</x:v>
      </x:c>
      <x:c r="D5" s="8" t="str">
        <x:v>Acumulado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6" customHeight="1">
      <x:c r="A6" s="3" t="str">
        <x:v>Valdivia</x:v>
      </x:c>
      <x:c r="B6" s="9" t="n">
        <x:v>1850</x:v>
      </x:c>
      <x:c r="C6" s="10" t="n">
        <x:f>B6/SUM($B$6:$B$20)</x:f>
        <x:v>0.08019420000866964</x:v>
      </x:c>
      <x:c r="D6" s="10" t="n">
        <x:f>SUM($B$6:B6)/SUM($B$6:$B$20)</x:f>
        <x:v>0.08019420000866964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6" customHeight="1">
      <x:c r="A7" s="3" t="str">
        <x:v>Turbo</x:v>
      </x:c>
      <x:c r="B7" s="9" t="n">
        <x:v>1708</x:v>
      </x:c>
      <x:c r="C7" s="10" t="n">
        <x:f>B7/SUM($B$6:$B$20)</x:f>
        <x:v>0.07403875330530149</x:v>
      </x:c>
      <x:c r="D7" s="10" t="n">
        <x:f>SUM($B$6:B7)/SUM($B$6:$B$20)</x:f>
        <x:v>0.15423295331397113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6" customHeight="1">
      <x:c r="A8" s="3" t="str">
        <x:v>Sopetran</x:v>
      </x:c>
      <x:c r="B8" s="9" t="n">
        <x:v>1699</x:v>
      </x:c>
      <x:c r="C8" s="10" t="n">
        <x:f>B8/SUM($B$6:$B$20)</x:f>
        <x:v>0.07364861935931337</x:v>
      </x:c>
      <x:c r="D8" s="10" t="n">
        <x:f>SUM($B$6:B8)/SUM($B$6:$B$20)</x:f>
        <x:v>0.2278815726732845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6" customHeight="1">
      <x:c r="A9" s="3" t="str">
        <x:v>Nariño</x:v>
      </x:c>
      <x:c r="B9" s="9" t="n">
        <x:v>1611</x:v>
      </x:c>
      <x:c r="C9" s="10" t="n">
        <x:f>B9/SUM($B$6:$B$20)</x:f>
        <x:v>0.06983397633187394</x:v>
      </x:c>
      <x:c r="D9" s="10" t="n">
        <x:f>SUM($B$6:B9)/SUM($B$6:$B$20)</x:f>
        <x:v>0.29771554900515845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6" customHeight="1">
      <x:c r="A10" s="3" t="str">
        <x:v>Caicedo</x:v>
      </x:c>
      <x:c r="B10" s="9" t="n">
        <x:v>1604</x:v>
      </x:c>
      <x:c r="C10" s="10" t="n">
        <x:f>B10/SUM($B$6:$B$20)</x:f>
        <x:v>0.06953053881832763</x:v>
      </x:c>
      <x:c r="D10" s="10" t="n">
        <x:f>SUM($B$6:B10)/SUM($B$6:$B$20)</x:f>
        <x:v>0.36724608782348606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36" customHeight="1">
      <x:c r="A11" s="3" t="str">
        <x:v>Amaga</x:v>
      </x:c>
      <x:c r="B11" s="9" t="n">
        <x:v>1600</x:v>
      </x:c>
      <x:c r="C11" s="10" t="n">
        <x:f>B11/SUM($B$6:$B$20)</x:f>
        <x:v>0.06935714595344401</x:v>
      </x:c>
      <x:c r="D11" s="10" t="n">
        <x:f>SUM($B$6:B11)/SUM($B$6:$B$20)</x:f>
        <x:v>0.43660323377693006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36" customHeight="1">
      <x:c r="A12" s="3" t="str">
        <x:v>Frontino</x:v>
      </x:c>
      <x:c r="B12" s="9" t="n">
        <x:v>1520</x:v>
      </x:c>
      <x:c r="C12" s="10" t="n">
        <x:f>B12/SUM($B$6:$B$20)</x:f>
        <x:v>0.06588928865577182</x:v>
      </x:c>
      <x:c r="D12" s="10" t="n">
        <x:f>SUM($B$6:B12)/SUM($B$6:$B$20)</x:f>
        <x:v>0.5024925224327019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36" customHeight="1">
      <x:c r="A13" s="3" t="str">
        <x:v>Puerto Berrio</x:v>
      </x:c>
      <x:c r="B13" s="9" t="n">
        <x:v>1514</x:v>
      </x:c>
      <x:c r="C13" s="10" t="n">
        <x:f>B13/SUM($B$6:$B$20)</x:f>
        <x:v>0.0656291993584464</x:v>
      </x:c>
      <x:c r="D13" s="10" t="n">
        <x:f>SUM($B$6:B13)/SUM($B$6:$B$20)</x:f>
        <x:v>0.5681217217911483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36" customHeight="1">
      <x:c r="A14" s="3" t="str">
        <x:v>Anori</x:v>
      </x:c>
      <x:c r="B14" s="9" t="n">
        <x:v>1510</x:v>
      </x:c>
      <x:c r="C14" s="10" t="n">
        <x:f>B14/SUM($B$6:$B$20)</x:f>
        <x:v>0.0654558064935628</x:v>
      </x:c>
      <x:c r="D14" s="10" t="n">
        <x:f>SUM($B$6:B14)/SUM($B$6:$B$20)</x:f>
        <x:v>0.633577528284711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36" customHeight="1">
      <x:c r="A15" s="3" t="str">
        <x:v>Dabeiba</x:v>
      </x:c>
      <x:c r="B15" s="9" t="n">
        <x:v>1441</x:v>
      </x:c>
      <x:c r="C15" s="10" t="n">
        <x:f>B15/SUM($B$6:$B$20)</x:f>
        <x:v>0.06246477957432052</x:v>
      </x:c>
      <x:c r="D15" s="10" t="n">
        <x:f>SUM($B$6:B15)/SUM($B$6:$B$20)</x:f>
        <x:v>0.6960423078590317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36" customHeight="1">
      <x:c r="A16" s="3" t="str">
        <x:v>Amalfi</x:v>
      </x:c>
      <x:c r="B16" s="9" t="n">
        <x:v>1430</x:v>
      </x:c>
      <x:c r="C16" s="10" t="n">
        <x:f>B16/SUM($B$6:$B$20)</x:f>
        <x:v>0.06198794919589059</x:v>
      </x:c>
      <x:c r="D16" s="10" t="n">
        <x:f>SUM($B$6:B16)/SUM($B$6:$B$20)</x:f>
        <x:v>0.7580302570549222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36" customHeight="1">
      <x:c r="A17" s="3" t="str">
        <x:v>Belmira</x:v>
      </x:c>
      <x:c r="B17" s="9" t="n">
        <x:v>1412</x:v>
      </x:c>
      <x:c r="C17" s="10" t="n">
        <x:f>B17/SUM($B$6:$B$20)</x:f>
        <x:v>0.061207681303914345</x:v>
      </x:c>
      <x:c r="D17" s="10" t="n">
        <x:f>SUM($B$6:B17)/SUM($B$6:$B$20)</x:f>
        <x:v>0.8192379383588365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36" customHeight="1">
      <x:c r="A18" s="3" t="str">
        <x:v>San Pedro de Uraba</x:v>
      </x:c>
      <x:c r="B18" s="9" t="n">
        <x:v>1399</x:v>
      </x:c>
      <x:c r="C18" s="10" t="n">
        <x:f>B18/SUM($B$6:$B$20)</x:f>
        <x:v>0.06064415449304261</x:v>
      </x:c>
      <x:c r="D18" s="10" t="n">
        <x:f>SUM($B$6:B18)/SUM($B$6:$B$20)</x:f>
        <x:v>0.8798820928518791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36" customHeight="1">
      <x:c r="A19" s="3" t="str">
        <x:v>Venecia</x:v>
      </x:c>
      <x:c r="B19" s="9" t="n">
        <x:v>1391</x:v>
      </x:c>
      <x:c r="C19" s="10" t="n">
        <x:f>B19/SUM($B$6:$B$20)</x:f>
        <x:v>0.06029736876327539</x:v>
      </x:c>
      <x:c r="D19" s="10" t="n">
        <x:f>SUM($B$6:B19)/SUM($B$6:$B$20)</x:f>
        <x:v>0.9401794616151545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36" customHeight="1">
      <x:c r="A20" s="3" t="str">
        <x:v>Arboletes</x:v>
      </x:c>
      <x:c r="B20" s="9" t="n">
        <x:v>1380</x:v>
      </x:c>
      <x:c r="C20" s="10" t="n">
        <x:f>B20/SUM($B$6:$B$20)</x:f>
        <x:v>0.05982053838484546</x:v>
      </x:c>
      <x:c r="D20" s="10" t="n">
        <x:f>SUM($B$6:B20)/SUM($B$6:$B$20)</x:f>
        <x:v>1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 t="str">
        <x:v>Subtotal</x:v>
      </x:c>
      <x:c r="B22" s="9" t="n">
        <x:f>SUM(B6:B20)</x:f>
        <x:v>23069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3" t="str">
        <x:v>Lectura de Pareto en dos paneles: barras de mayor a menor y curva de porcentaje acumulado. Ambos gráficos son editables y usan las mismas categorías.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  <x:mergeCell ref="A45:Q46"/>
  </x:mergeCells>
  <x:pageMargins left="0.7" right="0.7" top="0.75" bottom="0.75" header="0.3" footer="0.3"/>
  <x:drawing xmlns:r="http://schemas.openxmlformats.org/officeDocument/2006/relationships" r:id="R2278504e1d8d42b6"/>
</x:worksheet>
</file>

<file path=xl/worksheets/sheet3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7.3 Cinco departamentos con más unidades de MANZALOCA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Fuente: 07-3-manzaloca.sql sobre vista_operaciones limpia. Acumulado sobre el subtotal seleccionado.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Categoría</x:v>
      </x:c>
      <x:c r="B5" s="8" t="str">
        <x:v>Unidades</x:v>
      </x:c>
      <x:c r="C5" s="8" t="str">
        <x:v>Participación</x:v>
      </x:c>
      <x:c r="D5" s="8" t="str">
        <x:v>Acumulado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6" customHeight="1">
      <x:c r="A6" s="3" t="str">
        <x:v>Antioquia</x:v>
      </x:c>
      <x:c r="B6" s="9" t="n">
        <x:v>27305</x:v>
      </x:c>
      <x:c r="C6" s="10" t="n">
        <x:f>B6/SUM($B$6:$B$10)</x:f>
        <x:v>0.23735016211611512</x:v>
      </x:c>
      <x:c r="D6" s="10" t="n">
        <x:f>SUM($B$6:B6)/SUM($B$6:$B$10)</x:f>
        <x:v>0.23735016211611512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6" customHeight="1">
      <x:c r="A7" s="3" t="str">
        <x:v>Boyaca</x:v>
      </x:c>
      <x:c r="B7" s="9" t="n">
        <x:v>26577</x:v>
      </x:c>
      <x:c r="C7" s="10" t="n">
        <x:f>B7/SUM($B$6:$B$10)</x:f>
        <x:v>0.23102198346676403</x:v>
      </x:c>
      <x:c r="D7" s="10" t="n">
        <x:f>SUM($B$6:B7)/SUM($B$6:$B$10)</x:f>
        <x:v>0.46837214558287915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6" customHeight="1">
      <x:c r="A8" s="3" t="str">
        <x:v>Cundinamarca</x:v>
      </x:c>
      <x:c r="B8" s="9" t="n">
        <x:v>25510</x:v>
      </x:c>
      <x:c r="C8" s="10" t="n">
        <x:f>B8/SUM($B$6:$B$10)</x:f>
        <x:v>0.22174702931998158</x:v>
      </x:c>
      <x:c r="D8" s="10" t="n">
        <x:f>SUM($B$6:B8)/SUM($B$6:$B$10)</x:f>
        <x:v>0.6901191749028607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6" customHeight="1">
      <x:c r="A9" s="3" t="str">
        <x:v>Santander</x:v>
      </x:c>
      <x:c r="B9" s="9" t="n">
        <x:v>21376</x:v>
      </x:c>
      <x:c r="C9" s="10" t="n">
        <x:f>B9/SUM($B$6:$B$10)</x:f>
        <x:v>0.18581201484688067</x:v>
      </x:c>
      <x:c r="D9" s="10" t="n">
        <x:f>SUM($B$6:B9)/SUM($B$6:$B$10)</x:f>
        <x:v>0.8759311897497414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6" customHeight="1">
      <x:c r="A10" s="3" t="str">
        <x:v>Nariño</x:v>
      </x:c>
      <x:c r="B10" s="9" t="n">
        <x:v>14273</x:v>
      </x:c>
      <x:c r="C10" s="10" t="n">
        <x:f>B10/SUM($B$6:$B$10)</x:f>
        <x:v>0.12406881025025861</x:v>
      </x:c>
      <x:c r="D10" s="10" t="n">
        <x:f>SUM($B$6:B10)/SUM($B$6:$B$10)</x:f>
        <x:v>1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 t="str">
        <x:v>Subtotal</x:v>
      </x:c>
      <x:c r="B12" s="9" t="n">
        <x:f>SUM(B6:B10)</x:f>
        <x:v>115041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3" t="str">
        <x:v>Lectura de Pareto en dos paneles: barras de mayor a menor y curva de porcentaje acumulado. Ambos gráficos son editables y usan las mismas categorías.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  <x:mergeCell ref="A45:Q46"/>
  </x:mergeCells>
  <x:pageMargins left="0.7" right="0.7" top="0.75" bottom="0.75" header="0.3" footer="0.3"/>
  <x:drawing xmlns:r="http://schemas.openxmlformats.org/officeDocument/2006/relationships" r:id="R7fd7719aa5c94264"/>
</x:worksheet>
</file>

<file path=xl/worksheets/sheet4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7.4 Cinco municipios con menor monto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Fuente: 07-4-menores-municipios.sql sobre vista_operaciones limpia. Acumulado sobre el subtotal seleccionado. El CSV conserva el orden ascendente; Pareto reordena esos mismos cinco resultados.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Categoría</x:v>
      </x:c>
      <x:c r="B5" s="8" t="str">
        <x:v>COP</x:v>
      </x:c>
      <x:c r="C5" s="8" t="str">
        <x:v>Participación</x:v>
      </x:c>
      <x:c r="D5" s="8" t="str">
        <x:v>Acumulado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6" customHeight="1">
      <x:c r="A6" s="3" t="str">
        <x:v>Sesquile (Cundinamarca)</x:v>
      </x:c>
      <x:c r="B6" s="9" t="n">
        <x:v>104200</x:v>
      </x:c>
      <x:c r="C6" s="10" t="n">
        <x:f>B6/SUM($B$6:$B$10)</x:f>
        <x:v>0.23373710183938987</x:v>
      </x:c>
      <x:c r="D6" s="10" t="n">
        <x:f>SUM($B$6:B6)/SUM($B$6:$B$10)</x:f>
        <x:v>0.23373710183938987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6" customHeight="1">
      <x:c r="A7" s="3" t="str">
        <x:v>Momil (Cordoba)</x:v>
      </x:c>
      <x:c r="B7" s="9" t="n">
        <x:v>94200</x:v>
      </x:c>
      <x:c r="C7" s="10" t="n">
        <x:f>B7/SUM($B$6:$B$10)</x:f>
        <x:v>0.21130551816958276</x:v>
      </x:c>
      <x:c r="D7" s="10" t="n">
        <x:f>SUM($B$6:B7)/SUM($B$6:$B$10)</x:f>
        <x:v>0.44504262000897266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6" customHeight="1">
      <x:c r="A8" s="3" t="str">
        <x:v>Togñi (Boyaca)</x:v>
      </x:c>
      <x:c r="B8" s="9" t="n">
        <x:v>92800</x:v>
      </x:c>
      <x:c r="C8" s="10" t="n">
        <x:f>B8/SUM($B$6:$B$10)</x:f>
        <x:v>0.20816509645580977</x:v>
      </x:c>
      <x:c r="D8" s="10" t="n">
        <x:f>SUM($B$6:B8)/SUM($B$6:$B$10)</x:f>
        <x:v>0.6532077164647824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6" customHeight="1">
      <x:c r="A9" s="3" t="str">
        <x:v>Pelaya (Cesar)</x:v>
      </x:c>
      <x:c r="B9" s="9" t="n">
        <x:v>86400</x:v>
      </x:c>
      <x:c r="C9" s="10" t="n">
        <x:f>B9/SUM($B$6:$B$10)</x:f>
        <x:v>0.19380888290713325</x:v>
      </x:c>
      <x:c r="D9" s="10" t="n">
        <x:f>SUM($B$6:B9)/SUM($B$6:$B$10)</x:f>
        <x:v>0.8470165993719156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6" customHeight="1">
      <x:c r="A10" s="3" t="str">
        <x:v>Zarzal (Valle del Cauca)</x:v>
      </x:c>
      <x:c r="B10" s="9" t="n">
        <x:v>68200</x:v>
      </x:c>
      <x:c r="C10" s="10" t="n">
        <x:f>B10/SUM($B$6:$B$10)</x:f>
        <x:v>0.15298340062808435</x:v>
      </x:c>
      <x:c r="D10" s="10" t="n">
        <x:f>SUM($B$6:B10)/SUM($B$6:$B$10)</x:f>
        <x:v>1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 t="str">
        <x:v>Subtotal</x:v>
      </x:c>
      <x:c r="B12" s="9" t="n">
        <x:f>SUM(B6:B10)</x:f>
        <x:v>445800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3" t="str">
        <x:v>Lectura de Pareto en dos paneles: barras de mayor a menor y curva de porcentaje acumulado. Ambos gráficos son editables y usan las mismas categorías.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  <x:mergeCell ref="A45:Q46"/>
  </x:mergeCells>
  <x:pageMargins left="0.7" right="0.7" top="0.75" bottom="0.75" header="0.3" footer="0.3"/>
  <x:drawing xmlns:r="http://schemas.openxmlformats.org/officeDocument/2006/relationships" r:id="R86415f9fe0254e07"/>
</x:worksheet>
</file>

<file path=xl/worksheets/sheet5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7.5 Region Centro Oriente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Unidades de cada producto dentro de la región. Fuente: 07-5-productos-regiones.sql.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Producto</x:v>
      </x:c>
      <x:c r="B5" s="8" t="str">
        <x:v>Unidades</x:v>
      </x:c>
      <x:c r="C5" s="8" t="str">
        <x:v>Participación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COLOMBIANITA</x:v>
      </x:c>
      <x:c r="B6" s="9" t="n">
        <x:v>78059</x:v>
      </x:c>
      <x:c r="C6" s="10" t="n">
        <x:f>B6/SUM($B$6:$B$9)</x:f>
        <x:v>0.23924810278666617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MANZALOCA</x:v>
      </x:c>
      <x:c r="B7" s="9" t="n">
        <x:v>82590</x:v>
      </x:c>
      <x:c r="C7" s="10" t="n">
        <x:f>B7/SUM($B$6:$B$9)</x:f>
        <x:v>0.253135459193056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MANGOSON</x:v>
      </x:c>
      <x:c r="B8" s="9" t="n">
        <x:v>83105</x:v>
      </x:c>
      <x:c r="C8" s="10" t="n">
        <x:f>B8/SUM($B$6:$B$9)</x:f>
        <x:v>0.2547139161670774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NARANJITA</x:v>
      </x:c>
      <x:c r="B9" s="9" t="n">
        <x:v>82514</x:v>
      </x:c>
      <x:c r="C9" s="10" t="n">
        <x:f>B9/SUM($B$6:$B$9)</x:f>
        <x:v>0.25290252185320045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Total</x:v>
      </x:c>
      <x:c r="B11" s="9" t="n">
        <x:f>SUM(B6:B9)</x:f>
        <x:v>326268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</x:mergeCells>
  <x:pageMargins left="0.7" right="0.7" top="0.75" bottom="0.75" header="0.3" footer="0.3"/>
  <x:drawing xmlns:r="http://schemas.openxmlformats.org/officeDocument/2006/relationships" r:id="R02a75221480048c4"/>
</x:worksheet>
</file>

<file path=xl/worksheets/sheet6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7.5 Region Caribe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Unidades de cada producto dentro de la región. Fuente: 07-5-productos-regiones.sql.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Producto</x:v>
      </x:c>
      <x:c r="B5" s="8" t="str">
        <x:v>Unidades</x:v>
      </x:c>
      <x:c r="C5" s="8" t="str">
        <x:v>Participación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COLOMBIANITA</x:v>
      </x:c>
      <x:c r="B6" s="9" t="n">
        <x:v>44702</x:v>
      </x:c>
      <x:c r="C6" s="10" t="n">
        <x:f>B6/SUM($B$6:$B$9)</x:f>
        <x:v>0.2491722500306574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MANZALOCA</x:v>
      </x:c>
      <x:c r="B7" s="9" t="n">
        <x:v>42727</x:v>
      </x:c>
      <x:c r="C7" s="10" t="n">
        <x:f>B7/SUM($B$6:$B$9)</x:f>
        <x:v>0.23816345414209428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MANGOSON</x:v>
      </x:c>
      <x:c r="B8" s="9" t="n">
        <x:v>44699</x:v>
      </x:c>
      <x:c r="C8" s="10" t="n">
        <x:f>B8/SUM($B$6:$B$9)</x:f>
        <x:v>0.24915552780905453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NARANJITA</x:v>
      </x:c>
      <x:c r="B9" s="9" t="n">
        <x:v>47274</x:v>
      </x:c>
      <x:c r="C9" s="10" t="n">
        <x:f>B9/SUM($B$6:$B$9)</x:f>
        <x:v>0.2635087680181938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Total</x:v>
      </x:c>
      <x:c r="B11" s="9" t="n">
        <x:f>SUM(B6:B9)</x:f>
        <x:v>179402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</x:mergeCells>
  <x:pageMargins left="0.7" right="0.7" top="0.75" bottom="0.75" header="0.3" footer="0.3"/>
  <x:drawing xmlns:r="http://schemas.openxmlformats.org/officeDocument/2006/relationships" r:id="Ra34735ca85f841be"/>
</x:worksheet>
</file>

<file path=xl/worksheets/sheet7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7.5 Region Pacifico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Unidades de cada producto dentro de la región. Fuente: 07-5-productos-regiones.sql.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Producto</x:v>
      </x:c>
      <x:c r="B5" s="8" t="str">
        <x:v>Unidades</x:v>
      </x:c>
      <x:c r="C5" s="8" t="str">
        <x:v>Participación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COLOMBIANITA</x:v>
      </x:c>
      <x:c r="B6" s="9" t="n">
        <x:v>42949</x:v>
      </x:c>
      <x:c r="C6" s="10" t="n">
        <x:f>B6/SUM($B$6:$B$9)</x:f>
        <x:v>0.25769966939272665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MANZALOCA</x:v>
      </x:c>
      <x:c r="B7" s="9" t="n">
        <x:v>39871</x:v>
      </x:c>
      <x:c r="C7" s="10" t="n">
        <x:f>B7/SUM($B$6:$B$9)</x:f>
        <x:v>0.23923126308778794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MANGOSON</x:v>
      </x:c>
      <x:c r="B8" s="9" t="n">
        <x:v>43859</x:v>
      </x:c>
      <x:c r="C8" s="10" t="n">
        <x:f>B8/SUM($B$6:$B$9)</x:f>
        <x:v>0.26315978951536934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NARANJITA</x:v>
      </x:c>
      <x:c r="B9" s="9" t="n">
        <x:v>39984</x:v>
      </x:c>
      <x:c r="C9" s="10" t="n">
        <x:f>B9/SUM($B$6:$B$9)</x:f>
        <x:v>0.2399092780041161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Total</x:v>
      </x:c>
      <x:c r="B11" s="9" t="n">
        <x:f>SUM(B6:B9)</x:f>
        <x:v>166663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</x:mergeCells>
  <x:pageMargins left="0.7" right="0.7" top="0.75" bottom="0.75" header="0.3" footer="0.3"/>
  <x:drawing xmlns:r="http://schemas.openxmlformats.org/officeDocument/2006/relationships" r:id="R24582bcda8a14dad"/>
</x:worksheet>
</file>

<file path=xl/worksheets/sheet8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7.5 Region Eje Cafetero - Antioquia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Unidades de cada producto dentro de la región. Fuente: 07-5-productos-regiones.sql.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Producto</x:v>
      </x:c>
      <x:c r="B5" s="8" t="str">
        <x:v>Unidades</x:v>
      </x:c>
      <x:c r="C5" s="8" t="str">
        <x:v>Participación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COLOMBIANITA</x:v>
      </x:c>
      <x:c r="B6" s="9" t="n">
        <x:v>41966</x:v>
      </x:c>
      <x:c r="C6" s="10" t="n">
        <x:f>B6/SUM($B$6:$B$9)</x:f>
        <x:v>0.26115961690449374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MANZALOCA</x:v>
      </x:c>
      <x:c r="B7" s="9" t="n">
        <x:v>38089</x:v>
      </x:c>
      <x:c r="C7" s="10" t="n">
        <x:f>B7/SUM($B$6:$B$9)</x:f>
        <x:v>0.23703256560728356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MANGOSON</x:v>
      </x:c>
      <x:c r="B8" s="9" t="n">
        <x:v>39231</x:v>
      </x:c>
      <x:c r="C8" s="10" t="n">
        <x:f>B8/SUM($B$6:$B$9)</x:f>
        <x:v>0.24413937308249994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NARANJITA</x:v>
      </x:c>
      <x:c r="B9" s="9" t="n">
        <x:v>41405</x:v>
      </x:c>
      <x:c r="C9" s="10" t="n">
        <x:f>B9/SUM($B$6:$B$9)</x:f>
        <x:v>0.2576684444057228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Total</x:v>
      </x:c>
      <x:c r="B11" s="9" t="n">
        <x:f>SUM(B6:B9)</x:f>
        <x:v>160691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</x:mergeCells>
  <x:pageMargins left="0.7" right="0.7" top="0.75" bottom="0.75" header="0.3" footer="0.3"/>
  <x:drawing xmlns:r="http://schemas.openxmlformats.org/officeDocument/2006/relationships" r:id="Rbd08265df3de407f"/>
</x:worksheet>
</file>

<file path=xl/worksheets/sheet9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7.5 Region Centro Sur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Unidades de cada producto dentro de la región. Fuente: 07-5-productos-regiones.sql.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Producto</x:v>
      </x:c>
      <x:c r="B5" s="8" t="str">
        <x:v>Unidades</x:v>
      </x:c>
      <x:c r="C5" s="8" t="str">
        <x:v>Participación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COLOMBIANITA</x:v>
      </x:c>
      <x:c r="B6" s="9" t="n">
        <x:v>27858</x:v>
      </x:c>
      <x:c r="C6" s="10" t="n">
        <x:f>B6/SUM($B$6:$B$9)</x:f>
        <x:v>0.2439233678901653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MANZALOCA</x:v>
      </x:c>
      <x:c r="B7" s="9" t="n">
        <x:v>28327</x:v>
      </x:c>
      <x:c r="C7" s="10" t="n">
        <x:f>B7/SUM($B$6:$B$9)</x:f>
        <x:v>0.24802991033903055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MANGOSON</x:v>
      </x:c>
      <x:c r="B8" s="9" t="n">
        <x:v>28248</x:v>
      </x:c>
      <x:c r="C8" s="10" t="n">
        <x:f>B8/SUM($B$6:$B$9)</x:f>
        <x:v>0.24733818996917903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NARANJITA</x:v>
      </x:c>
      <x:c r="B9" s="9" t="n">
        <x:v>29775</x:v>
      </x:c>
      <x:c r="C9" s="10" t="n">
        <x:f>B9/SUM($B$6:$B$9)</x:f>
        <x:v>0.2607085318016251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Total</x:v>
      </x:c>
      <x:c r="B11" s="9" t="n">
        <x:f>SUM(B6:B9)</x:f>
        <x:v>114208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</x:mergeCells>
  <x:pageMargins left="0.7" right="0.7" top="0.75" bottom="0.75" header="0.3" footer="0.3"/>
  <x:drawing xmlns:r="http://schemas.openxmlformats.org/officeDocument/2006/relationships" r:id="R78fb7e8ebda3450a"/>
</x:worksheet>
</file>

<file path=xl/worksheets/sheet10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7.5 Region Llano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Unidades de cada producto dentro de la región. Fuente: 07-5-productos-regiones.sql.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Producto</x:v>
      </x:c>
      <x:c r="B5" s="8" t="str">
        <x:v>Unidades</x:v>
      </x:c>
      <x:c r="C5" s="8" t="str">
        <x:v>Participación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COLOMBIANITA</x:v>
      </x:c>
      <x:c r="B6" s="9" t="n">
        <x:v>14430</x:v>
      </x:c>
      <x:c r="C6" s="10" t="n">
        <x:f>B6/SUM($B$6:$B$9)</x:f>
        <x:v>0.23842175701799315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MANZALOCA</x:v>
      </x:c>
      <x:c r="B7" s="9" t="n">
        <x:v>16444</x:v>
      </x:c>
      <x:c r="C7" s="10" t="n">
        <x:f>B7/SUM($B$6:$B$9)</x:f>
        <x:v>0.2716983626059515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MANGOSON</x:v>
      </x:c>
      <x:c r="B8" s="9" t="n">
        <x:v>14054</x:v>
      </x:c>
      <x:c r="C8" s="10" t="n">
        <x:f>B8/SUM($B$6:$B$9)</x:f>
        <x:v>0.23220924276721247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NARANJITA</x:v>
      </x:c>
      <x:c r="B9" s="9" t="n">
        <x:v>15595</x:v>
      </x:c>
      <x:c r="C9" s="10" t="n">
        <x:f>B9/SUM($B$6:$B$9)</x:f>
        <x:v>0.2576706376088429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Total</x:v>
      </x:c>
      <x:c r="B11" s="9" t="n">
        <x:f>SUM(B6:B9)</x:f>
        <x:v>60523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</x:mergeCells>
  <x:pageMargins left="0.7" right="0.7" top="0.75" bottom="0.75" header="0.3" footer="0.3"/>
  <x:drawing xmlns:r="http://schemas.openxmlformats.org/officeDocument/2006/relationships" r:id="R84d9179f1acb4e7a"/>
</x:worksheet>
</file>

<file path=xl/worksheets/sheet11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7.6 Monto vendido por producto en Antioquia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COP. Fuente: 07-6-antioquia-productos.sql. La participación usa el monto, no el número de unidades.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Producto</x:v>
      </x:c>
      <x:c r="B5" s="8" t="str">
        <x:v>COP</x:v>
      </x:c>
      <x:c r="C5" s="8" t="str">
        <x:v>Participación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" t="str">
        <x:v>COLOMBIANITA</x:v>
      </x:c>
      <x:c r="B6" s="9" t="n">
        <x:v>35680800</x:v>
      </x:c>
      <x:c r="C6" s="10" t="n">
        <x:f>B6/SUM($B$6:$B$9)</x:f>
        <x:v>0.33737582711011177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" t="str">
        <x:v>MANZALOCA</x:v>
      </x:c>
      <x:c r="B7" s="9" t="n">
        <x:v>27305000</x:v>
      </x:c>
      <x:c r="C7" s="10" t="n">
        <x:f>B7/SUM($B$6:$B$9)</x:f>
        <x:v>0.25817938384906175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" t="str">
        <x:v>MANGOSON</x:v>
      </x:c>
      <x:c r="B8" s="9" t="n">
        <x:v>24820200</x:v>
      </x:c>
      <x:c r="C8" s="10" t="n">
        <x:f>B8/SUM($B$6:$B$9)</x:f>
        <x:v>0.2346846344263132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" t="str">
        <x:v>NARANJITA</x:v>
      </x:c>
      <x:c r="B9" s="9" t="n">
        <x:v>17953800</x:v>
      </x:c>
      <x:c r="C9" s="10" t="n">
        <x:f>B9/SUM($B$6:$B$9)</x:f>
        <x:v>0.16976015461451327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 t="str">
        <x:v>Total</x:v>
      </x:c>
      <x:c r="B11" s="9" t="n">
        <x:f>SUM(B6:B9)</x:f>
        <x:v>105759800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Q1"/>
    <x:mergeCell ref="A2:Q3"/>
  </x:mergeCells>
  <x:pageMargins left="0.7" right="0.7" top="0.75" bottom="0.75" header="0.3" footer="0.3"/>
  <x:drawing xmlns:r="http://schemas.openxmlformats.org/officeDocument/2006/relationships" r:id="R9798a21e922e42a6"/>
</x:worksheet>
</file>

<file path=xl/worksheets/sheet12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10 Tiempo y almacenamiento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Ejecuciones reales en PostgreSQL 18.3 PGlite 0.5.8. Python 3.12.14, lotes de 10.000, semilla 20260923. Una corrida por tamaño; no equivale a un servidor PostgreSQL nativo.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Registros</x:v>
      </x:c>
      <x:c r="B5" s="8" t="str">
        <x:v>Tiempo ms</x:v>
      </x:c>
      <x:c r="C5" s="8" t="str">
        <x:v>Tabla bytes</x:v>
      </x:c>
      <x:c r="D5" s="8" t="str">
        <x:v>BD bytes</x:v>
      </x:c>
      <x:c r="E5" s="8" t="str">
        <x:v>Tabla KiB</x:v>
      </x:c>
      <x:c r="F5" s="8" t="str">
        <x:v>BD MiB</x:v>
      </x:c>
      <x:c r="G5" s="8" t="str">
        <x:v>Tabla / BD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9" t="n">
        <x:v>10000</x:v>
      </x:c>
      <x:c r="B6" s="11" t="n">
        <x:v>128.457</x:v>
      </x:c>
      <x:c r="C6" s="9" t="n">
        <x:v>712704</x:v>
      </x:c>
      <x:c r="D6" s="9" t="n">
        <x:v>11059323</x:v>
      </x:c>
      <x:c r="E6" s="12" t="n">
        <x:f>C6/1024</x:f>
        <x:v>696</x:v>
      </x:c>
      <x:c r="F6" s="12" t="n">
        <x:f>D6/1048576</x:f>
        <x:v>10.546992301940918</x:v>
      </x:c>
      <x:c r="G6" s="10" t="n">
        <x:f>C6/D6</x:f>
        <x:v>0.06444372770376632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9" t="n">
        <x:v>100000</x:v>
      </x:c>
      <x:c r="B7" s="11" t="n">
        <x:v>1134.602</x:v>
      </x:c>
      <x:c r="C7" s="9" t="n">
        <x:v>6856704</x:v>
      </x:c>
      <x:c r="D7" s="9" t="n">
        <x:v>17203323</x:v>
      </x:c>
      <x:c r="E7" s="12" t="n">
        <x:f>C7/1024</x:f>
        <x:v>6696</x:v>
      </x:c>
      <x:c r="F7" s="12" t="n">
        <x:f>D7/1048576</x:f>
        <x:v>16.406367301940918</x:v>
      </x:c>
      <x:c r="G7" s="10" t="n">
        <x:f>C7/D7</x:f>
        <x:v>0.39856857887281427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9" t="n">
        <x:v>1000000</x:v>
      </x:c>
      <x:c r="B8" s="11" t="n">
        <x:v>11592.542</x:v>
      </x:c>
      <x:c r="C8" s="9" t="n">
        <x:v>68313088</x:v>
      </x:c>
      <x:c r="D8" s="9" t="n">
        <x:v>78659707</x:v>
      </x:c>
      <x:c r="E8" s="12" t="n">
        <x:f>C8/1024</x:f>
        <x:v>66712</x:v>
      </x:c>
      <x:c r="F8" s="12" t="n">
        <x:f>D8/1048576</x:f>
        <x:v>75.01574230194092</x:v>
      </x:c>
      <x:c r="G8" s="10" t="n">
        <x:f>C8/D8</x:f>
        <x:v>0.8684635451286388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9" t="n">
        <x:v>10000000</x:v>
      </x:c>
      <x:c r="B9" s="11" t="n">
        <x:v>119018.03</x:v>
      </x:c>
      <x:c r="C9" s="9" t="n">
        <x:v>682860544</x:v>
      </x:c>
      <x:c r="D9" s="9" t="n">
        <x:v>693239931</x:v>
      </x:c>
      <x:c r="E9" s="12" t="n">
        <x:f>C9/1024</x:f>
        <x:v>666856</x:v>
      </x:c>
      <x:c r="F9" s="12" t="n">
        <x:f>D9/1048576</x:f>
        <x:v>661.1251173019409</x:v>
      </x:c>
      <x:c r="G9" s="10" t="n">
        <x:f>C9/D9</x:f>
        <x:v>0.9850277132982982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3" t="str">
        <x:v>KiB = 1.024 bytes; MiB = 1.048.576 bytes. El tiempo incluye generar datos, insertar todos los lotes y confirmar la transacción. Excluye conexión, lectura del catálogo, TRUNCATE y consultas de tamaño. pg_total_relation_size incluye tabla, TOAST e índices asociados.</x:v>
      </x:c>
      <x:c r="B12" s="3"/>
      <x:c r="C12" s="3"/>
      <x:c r="D12" s="3"/>
      <x:c r="E12" s="3"/>
      <x:c r="F12" s="3"/>
      <x:c r="G12" s="3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3"/>
      <x:c r="B13" s="3"/>
      <x:c r="C13" s="3"/>
      <x:c r="D13" s="3"/>
      <x:c r="E13" s="3"/>
      <x:c r="F13" s="3"/>
      <x:c r="G13" s="3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3"/>
      <x:c r="B14" s="3"/>
      <x:c r="C14" s="3"/>
      <x:c r="D14" s="3"/>
      <x:c r="E14" s="3"/>
      <x:c r="F14" s="3"/>
      <x:c r="G14" s="3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G1"/>
    <x:mergeCell ref="A2:G3"/>
    <x:mergeCell ref="A12:G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8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05" hidden="0" customWidth="1"/>
    <x:col min="4" max="4" width="15" hidden="0" customWidth="1"/>
    <x:col min="5" max="5" width="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2" customHeight="1">
      <x:c r="A1" s="2" t="str">
        <x:v>6 Registros corregidos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2" customHeight="1">
      <x:c r="A2" s="4" t="str">
        <x:v>Fuente: resultados/correcciones.csv. Se conservaron 10.000 operaciones: 30 modificadas y 9.970 válidas sin cambios.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Registro</x:v>
      </x:c>
      <x:c r="B5" s="8" t="str">
        <x:v>Validación</x:v>
      </x:c>
      <x:c r="C5" s="8" t="str">
        <x:v>Causa y corrección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3" customHeight="1">
      <x:c r="A6" s="1" t="n">
        <x:v>10001</x:v>
      </x:c>
      <x:c r="B6" s="1" t="str">
        <x:v>modificado</x:v>
      </x:c>
      <x:c r="C6" s="3" t="str">
        <x:v>A: fecha 2024-8-21 -&gt; 2024-08-21. Completar mes con cero.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43" customHeight="1">
      <x:c r="A7" s="1" t="n">
        <x:v>10014</x:v>
      </x:c>
      <x:c r="B7" s="1" t="str">
        <x:v>modificado</x:v>
      </x:c>
      <x:c r="C7" s="3" t="str">
        <x:v>C: cantidad -198 -&gt; 198; retirar signo negativo.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43" customHeight="1">
      <x:c r="A8" s="1" t="n">
        <x:v>10225</x:v>
      </x:c>
      <x:c r="B8" s="1" t="str">
        <x:v>modificado</x:v>
      </x:c>
      <x:c r="C8" s="3" t="str">
        <x:v>B: cantidad 0 -&gt; 136; promedio municipal 136.000000 de 7 registros con cantidad positiva; redondeo a unidad.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43" customHeight="1">
      <x:c r="A9" s="1" t="n">
        <x:v>10326</x:v>
      </x:c>
      <x:c r="B9" s="1" t="str">
        <x:v>modificado</x:v>
      </x:c>
      <x:c r="C9" s="3" t="str">
        <x:v>D: departamento 0 -&gt; 5715; recuperado del municipio Maripi.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43" customHeight="1">
      <x:c r="A10" s="1" t="n">
        <x:v>10686</x:v>
      </x:c>
      <x:c r="B10" s="1" t="str">
        <x:v>modificado</x:v>
      </x:c>
      <x:c r="C10" s="3" t="str">
        <x:v>E: producto 0 -&gt; 4 NARANJITA; regla del caso para Tamesis, Antioquia.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3" customHeight="1">
      <x:c r="A11" s="1" t="n">
        <x:v>11599</x:v>
      </x:c>
      <x:c r="B11" s="1" t="str">
        <x:v>modificado</x:v>
      </x:c>
      <x:c r="C11" s="3" t="str">
        <x:v>A: fecha 24-02-08 -&gt; 2024-02-08. Interpretación AA-MM-DD y año 2024.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3" customHeight="1">
      <x:c r="A12" s="1" t="n">
        <x:v>11734</x:v>
      </x:c>
      <x:c r="B12" s="1" t="str">
        <x:v>modificado</x:v>
      </x:c>
      <x:c r="C12" s="3" t="str">
        <x:v>E: producto 0 -&gt; 4 NARANJITA; regla del caso para Tamesis, Antioquia.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3" customHeight="1">
      <x:c r="A13" s="1" t="n">
        <x:v>11907</x:v>
      </x:c>
      <x:c r="B13" s="1" t="str">
        <x:v>modificado</x:v>
      </x:c>
      <x:c r="C13" s="3" t="str">
        <x:v>C: cantidad -144 -&gt; 144; retirar signo negativo.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43" customHeight="1">
      <x:c r="A14" s="1" t="n">
        <x:v>12110</x:v>
      </x:c>
      <x:c r="B14" s="1" t="str">
        <x:v>modificado</x:v>
      </x:c>
      <x:c r="C14" s="3" t="str">
        <x:v>A: fecha 024-07-17 -&gt; 2024-07-17. Completar año truncado 024 como 2024.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43" customHeight="1">
      <x:c r="A15" s="1" t="n">
        <x:v>12188</x:v>
      </x:c>
      <x:c r="B15" s="1" t="str">
        <x:v>modificado</x:v>
      </x:c>
      <x:c r="C15" s="3" t="str">
        <x:v>D: departamento 0 -&gt; 5715; recuperado del municipio Ventaquemada.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43" customHeight="1">
      <x:c r="A16" s="1" t="n">
        <x:v>13161</x:v>
      </x:c>
      <x:c r="B16" s="1" t="str">
        <x:v>modificado</x:v>
      </x:c>
      <x:c r="C16" s="3" t="str">
        <x:v>B: cantidad 0 -&gt; 105; promedio municipal 104.916667 de 12 registros con cantidad positiva; redondeo a unidad.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43" customHeight="1">
      <x:c r="A17" s="1" t="n">
        <x:v>13945</x:v>
      </x:c>
      <x:c r="B17" s="1" t="str">
        <x:v>modificado</x:v>
      </x:c>
      <x:c r="C17" s="3" t="str">
        <x:v>A: fecha 13-12-2024 -&gt; 2024-12-13. Interpretación DD-MM-AAAA.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43" customHeight="1">
      <x:c r="A18" s="1" t="n">
        <x:v>14020</x:v>
      </x:c>
      <x:c r="B18" s="1" t="str">
        <x:v>modificado</x:v>
      </x:c>
      <x:c r="C18" s="3" t="str">
        <x:v>D: departamento 0 -&gt; 5723; recuperado del municipio San Pelayo.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43" customHeight="1">
      <x:c r="A19" s="1" t="n">
        <x:v>14368</x:v>
      </x:c>
      <x:c r="B19" s="1" t="str">
        <x:v>modificado</x:v>
      </x:c>
      <x:c r="C19" s="3" t="str">
        <x:v>A: fecha 24-28-10 -&gt; 2024-10-28. Interpretación AA-DD-MM y año 2024.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43" customHeight="1">
      <x:c r="A20" s="1" t="n">
        <x:v>15208</x:v>
      </x:c>
      <x:c r="B20" s="1" t="str">
        <x:v>modificado</x:v>
      </x:c>
      <x:c r="C20" s="3" t="str">
        <x:v>C: cantidad -175 -&gt; 175; retirar signo negativo.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43" customHeight="1">
      <x:c r="A21" s="1" t="n">
        <x:v>15412</x:v>
      </x:c>
      <x:c r="B21" s="1" t="str">
        <x:v>modificado</x:v>
      </x:c>
      <x:c r="C21" s="3" t="str">
        <x:v>B: cantidad 0 -&gt; 79; promedio municipal 79.200000 de 5 registros con cantidad positiva; redondeo a unidad.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43" customHeight="1">
      <x:c r="A22" s="1" t="n">
        <x:v>15955</x:v>
      </x:c>
      <x:c r="B22" s="1" t="str">
        <x:v>modificado</x:v>
      </x:c>
      <x:c r="C22" s="3" t="str">
        <x:v>A: fecha 24-27-09 -&gt; 2024-09-27. Interpretación AA-DD-MM y año 2024.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43" customHeight="1">
      <x:c r="A23" s="1" t="n">
        <x:v>16558</x:v>
      </x:c>
      <x:c r="B23" s="1" t="str">
        <x:v>modificado</x:v>
      </x:c>
      <x:c r="C23" s="3" t="str">
        <x:v>A: fecha 01-02-24 -&gt; 2024-02-01. Supuesto DD-MM-AA; no se puede descartar 2024-01-02 con el dato original.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43" customHeight="1">
      <x:c r="A24" s="1" t="n">
        <x:v>16635</x:v>
      </x:c>
      <x:c r="B24" s="1" t="str">
        <x:v>modificado</x:v>
      </x:c>
      <x:c r="C24" s="3" t="str">
        <x:v>D: departamento 0 -&gt; 5741; recuperado del municipio Neiva.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43" customHeight="1">
      <x:c r="A25" s="1" t="n">
        <x:v>17125</x:v>
      </x:c>
      <x:c r="B25" s="1" t="str">
        <x:v>modificado</x:v>
      </x:c>
      <x:c r="C25" s="3" t="str">
        <x:v>A: fecha 12-12-2024 -&gt; 2024-12-12. Interpretación DD-MM-AAAA.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43" customHeight="1">
      <x:c r="A26" s="1" t="n">
        <x:v>17341</x:v>
      </x:c>
      <x:c r="B26" s="1" t="str">
        <x:v>modificado</x:v>
      </x:c>
      <x:c r="C26" s="3" t="str">
        <x:v>E: producto 0 -&gt; 4 NARANJITA; regla del caso para Tamesis, Antioquia.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43" customHeight="1">
      <x:c r="A27" s="1" t="n">
        <x:v>17528</x:v>
      </x:c>
      <x:c r="B27" s="1" t="str">
        <x:v>modificado</x:v>
      </x:c>
      <x:c r="C27" s="3" t="str">
        <x:v>B: cantidad 0 -&gt; 79; promedio municipal 79.200000 de 5 registros con cantidad positiva; redondeo a unidad.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43" customHeight="1">
      <x:c r="A28" s="1" t="n">
        <x:v>18056</x:v>
      </x:c>
      <x:c r="B28" s="1" t="str">
        <x:v>modificado</x:v>
      </x:c>
      <x:c r="C28" s="3" t="str">
        <x:v>A: fecha 24-09-09 -&gt; 2024-09-09. Interpretación AA-MM-DD y año 2024.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43" customHeight="1">
      <x:c r="A29" s="1" t="n">
        <x:v>18126</x:v>
      </x:c>
      <x:c r="B29" s="1" t="str">
        <x:v>modificado</x:v>
      </x:c>
      <x:c r="C29" s="3" t="str">
        <x:v>C: cantidad -181 -&gt; 181; retirar signo negativo.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43" customHeight="1">
      <x:c r="A30" s="1" t="n">
        <x:v>18469</x:v>
      </x:c>
      <x:c r="B30" s="1" t="str">
        <x:v>modificado</x:v>
      </x:c>
      <x:c r="C30" s="3" t="str">
        <x:v>D: departamento 0 -&gt; 5763; recuperado del municipio Quimbaya.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43" customHeight="1">
      <x:c r="A31" s="1" t="n">
        <x:v>18911</x:v>
      </x:c>
      <x:c r="B31" s="1" t="str">
        <x:v>modificado</x:v>
      </x:c>
      <x:c r="C31" s="3" t="str">
        <x:v>E: producto 0 -&gt; 4 NARANJITA; regla del caso para Tamesis, Antioquia.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43" customHeight="1">
      <x:c r="A32" s="1" t="n">
        <x:v>19181</x:v>
      </x:c>
      <x:c r="B32" s="1" t="str">
        <x:v>modificado</x:v>
      </x:c>
      <x:c r="C32" s="3" t="str">
        <x:v>B: cantidad 0 -&gt; 107; promedio municipal 107.181818 de 11 registros con cantidad positiva; redondeo a unidad.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43" customHeight="1">
      <x:c r="A33" s="1" t="n">
        <x:v>19195</x:v>
      </x:c>
      <x:c r="B33" s="1" t="str">
        <x:v>modificado</x:v>
      </x:c>
      <x:c r="C33" s="3" t="str">
        <x:v>E: producto 0 -&gt; 4 NARANJITA; regla del caso para Tamesis, Antioquia.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43" customHeight="1">
      <x:c r="A34" s="1" t="n">
        <x:v>19538</x:v>
      </x:c>
      <x:c r="B34" s="1" t="str">
        <x:v>modificado</x:v>
      </x:c>
      <x:c r="C34" s="3" t="str">
        <x:v>C: cantidad -112 -&gt; 112; retirar signo negativo.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43" customHeight="1">
      <x:c r="A35" s="1" t="n">
        <x:v>19680</x:v>
      </x:c>
      <x:c r="B35" s="1" t="str">
        <x:v>modificado</x:v>
      </x:c>
      <x:c r="C35" s="3" t="str">
        <x:v>A: fecha 11-23-2024 -&gt; 2024-11-23. Interpretación MM-DD-AAAA.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mergeCells>
    <x:mergeCell ref="A1:C1"/>
    <x:mergeCell ref="A2:C3"/>
  </x:mergeCells>
  <x:pageMargins left="0.7" right="0.7" top="0.75" bottom="0.75" header="0.3" footer="0.3"/>
</x:worksheet>
</file>