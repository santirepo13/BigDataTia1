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.1 - pareto del punto 7.1" sheetId="1" r:id="rId5"/>
    <sheet state="visible" name="8.2 - parapeto punto 7.2" sheetId="2" r:id="rId6"/>
    <sheet state="visible" name="8.3 - parapeto punto 7.3" sheetId="3" r:id="rId7"/>
    <sheet state="visible" name="8.4 Parapeto punto 7.4" sheetId="4" r:id="rId8"/>
    <sheet state="visible" name="8.5 torta punto 7.5" sheetId="5" r:id="rId9"/>
    <sheet state="visible" name="8.6 torta punto 7.6" sheetId="6" r:id="rId10"/>
    <sheet state="visible" name="Sheet7" sheetId="7" r:id="rId11"/>
  </sheets>
  <definedNames/>
  <calcPr/>
</workbook>
</file>

<file path=xl/sharedStrings.xml><?xml version="1.0" encoding="utf-8"?>
<sst xmlns="http://schemas.openxmlformats.org/spreadsheetml/2006/main" count="115" uniqueCount="54">
  <si>
    <t>Departamento</t>
  </si>
  <si>
    <t>Municipio (Departamento)</t>
  </si>
  <si>
    <t>Municipio</t>
  </si>
  <si>
    <t>Cantidad total un</t>
  </si>
  <si>
    <t>Monto total</t>
  </si>
  <si>
    <t>% Acumulado</t>
  </si>
  <si>
    <t>Antioquia</t>
  </si>
  <si>
    <t>Sesquile (Cundinamarca)</t>
  </si>
  <si>
    <t>Monto total (COP)</t>
  </si>
  <si>
    <t>Cantidad total (unidades)</t>
  </si>
  <si>
    <t>% del total</t>
  </si>
  <si>
    <t>% acumulado</t>
  </si>
  <si>
    <t>Valdivia</t>
  </si>
  <si>
    <t>Momil (Cordoba)</t>
  </si>
  <si>
    <t>Togñi (Boyaca)</t>
  </si>
  <si>
    <t>Pelaya (Cesar)</t>
  </si>
  <si>
    <t>Zarzal (Valle del Cauca)</t>
  </si>
  <si>
    <t>TOTAL</t>
  </si>
  <si>
    <t>Boyaca</t>
  </si>
  <si>
    <t>Cundinamarca</t>
  </si>
  <si>
    <t>Boyacá</t>
  </si>
  <si>
    <t>Santander</t>
  </si>
  <si>
    <t>Turbo</t>
  </si>
  <si>
    <t>Nariño</t>
  </si>
  <si>
    <t>Total</t>
  </si>
  <si>
    <t>Sopetran</t>
  </si>
  <si>
    <t>Bolívar</t>
  </si>
  <si>
    <t>Tolima</t>
  </si>
  <si>
    <t>Valle del Cauca</t>
  </si>
  <si>
    <t>Caicedo</t>
  </si>
  <si>
    <t>Amaga</t>
  </si>
  <si>
    <t>Frontino</t>
  </si>
  <si>
    <t>Puerto Berrio</t>
  </si>
  <si>
    <t>Anori</t>
  </si>
  <si>
    <t>Dabeiba</t>
  </si>
  <si>
    <t>Amalfi</t>
  </si>
  <si>
    <t>Belmira</t>
  </si>
  <si>
    <t>San Pedro de Uraba</t>
  </si>
  <si>
    <t>Producto</t>
  </si>
  <si>
    <t>%</t>
  </si>
  <si>
    <t>COLOMBIANITA</t>
  </si>
  <si>
    <t>Venecia</t>
  </si>
  <si>
    <t>MANZALOCA</t>
  </si>
  <si>
    <t>Arboletes</t>
  </si>
  <si>
    <t>MANGOSON</t>
  </si>
  <si>
    <t>NARANJITA</t>
  </si>
  <si>
    <t>Region</t>
  </si>
  <si>
    <t>Cantidad total (Unidades)</t>
  </si>
  <si>
    <t>Region Centro Oriente</t>
  </si>
  <si>
    <t>Region Caribe</t>
  </si>
  <si>
    <t>Region Pacifico</t>
  </si>
  <si>
    <t>Region Eje Cafetero - Antioquia</t>
  </si>
  <si>
    <t>Region Centro Sur</t>
  </si>
  <si>
    <t>Region Llano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</si>
</sst>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"/>
    <numFmt numFmtId="165" formatCode="0.0%"/>
    <numFmt numFmtId="166" formatCode="&quot;$&quot;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sz val="11.0"/>
      <color theme="1"/>
      <name val="Arial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0" fontId="3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0" fontId="3" numFmtId="3" xfId="0" applyAlignment="1" applyBorder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center" wrapText="0"/>
    </xf>
    <xf borderId="1" fillId="0" fontId="3" numFmtId="3" xfId="0" applyAlignment="1" applyBorder="1" applyFont="1" applyNumberFormat="1">
      <alignment horizontal="right" shrinkToFit="0" vertical="bottom" wrapText="0"/>
    </xf>
    <xf borderId="2" fillId="0" fontId="2" numFmtId="0" xfId="0" applyAlignment="1" applyBorder="1" applyFon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2" fillId="0" fontId="2" numFmtId="166" xfId="0" applyAlignment="1" applyBorder="1" applyFont="1" applyNumberFormat="1">
      <alignment readingOrder="0" shrinkToFit="0" vertical="center" wrapText="0"/>
    </xf>
    <xf borderId="1" fillId="0" fontId="1" numFmtId="10" xfId="0" applyAlignment="1" applyBorder="1" applyFont="1" applyNumberFormat="1">
      <alignment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1" fillId="0" fontId="1" numFmtId="165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10" xfId="0" applyAlignment="1" applyBorder="1" applyFont="1" applyNumberFormat="1">
      <alignment readingOrder="0" shrinkToFit="0" vertical="center" wrapText="0"/>
    </xf>
    <xf borderId="0" fillId="0" fontId="1" numFmtId="166" xfId="0" applyAlignment="1" applyFont="1" applyNumberFormat="1">
      <alignment shrinkToFit="0" vertical="center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3" xfId="0" applyAlignment="1" applyBorder="1" applyFont="1" applyNumberFormat="1">
      <alignment readingOrder="0" shrinkToFit="0" vertical="bottom" wrapText="0"/>
    </xf>
    <xf borderId="1" fillId="0" fontId="1" numFmtId="10" xfId="0" applyAlignment="1" applyBorder="1" applyFont="1" applyNumberFormat="1">
      <alignment shrinkToFit="0" vertical="center" wrapText="0"/>
    </xf>
    <xf borderId="0" fillId="0" fontId="4" numFmtId="10" xfId="0" applyAlignment="1" applyFont="1" applyNumberFormat="1">
      <alignment readingOrder="0" shrinkToFit="0" vertical="center" wrapText="0"/>
    </xf>
    <xf borderId="2" fillId="0" fontId="4" numFmtId="0" xfId="0" applyAlignment="1" applyBorder="1" applyFont="1">
      <alignment readingOrder="0" shrinkToFit="0" vertical="center" wrapText="0"/>
    </xf>
    <xf borderId="2" fillId="0" fontId="4" numFmtId="166" xfId="0" applyAlignment="1" applyBorder="1" applyFont="1" applyNumberFormat="1">
      <alignment readingOrder="0" shrinkToFit="0" vertical="center" wrapText="0"/>
    </xf>
    <xf borderId="3" fillId="0" fontId="3" numFmtId="0" xfId="0" applyAlignment="1" applyBorder="1" applyFont="1">
      <alignment shrinkToFit="0" vertical="bottom" wrapText="0"/>
    </xf>
    <xf borderId="3" fillId="0" fontId="3" numFmtId="164" xfId="0" applyAlignment="1" applyBorder="1" applyFont="1" applyNumberFormat="1">
      <alignment shrinkToFit="0" vertical="bottom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Font="1"/>
    <xf borderId="0" fillId="0" fontId="1" numFmtId="3" xfId="0" applyAlignment="1" applyFont="1" applyNumberFormat="1">
      <alignment shrinkToFit="0" vertical="center" wrapText="0"/>
    </xf>
    <xf borderId="1" fillId="0" fontId="1" numFmtId="0" xfId="0" applyBorder="1" applyFont="1"/>
    <xf borderId="1" fillId="0" fontId="1" numFmtId="3" xfId="0" applyBorder="1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8.3 - parapeto punto 7.3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8.4 Parapeto punto 7.4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8.1 - pareto del punto 7.1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8.2 - parapeto punto 7.2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8.6 torta punto 7.6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8.5 torta punto 7.5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Monto de ventas por departamento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'8.1 - pareto del punto 7.1'!$B$3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'8.1 - pareto del punto 7.1'!$A$4:$A$11</c:f>
            </c:strRef>
          </c:cat>
          <c:val>
            <c:numRef>
              <c:f>'8.1 - pareto del punto 7.1'!$B$4:$B$11</c:f>
              <c:numCache/>
            </c:numRef>
          </c:val>
        </c:ser>
        <c:ser>
          <c:idx val="1"/>
          <c:order val="1"/>
          <c:tx>
            <c:strRef>
              <c:f>'8.1 - pareto del punto 7.1'!$C$3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'8.1 - pareto del punto 7.1'!$A$4:$A$11</c:f>
            </c:strRef>
          </c:cat>
          <c:val>
            <c:numRef>
              <c:f>'8.1 - pareto del punto 7.1'!$C$4:$C$11</c:f>
              <c:numCache/>
            </c:numRef>
          </c:val>
        </c:ser>
        <c:axId val="956798272"/>
        <c:axId val="1747900956"/>
      </c:barChart>
      <c:catAx>
        <c:axId val="956798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Departamento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7900956"/>
      </c:catAx>
      <c:valAx>
        <c:axId val="17479009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Monto total e pesos</a:t>
                </a:r>
              </a:p>
            </c:rich>
          </c:tx>
          <c:overlay val="0"/>
        </c:title>
        <c:numFmt formatCode="&quot;$&quot;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6798272"/>
      </c:valAx>
      <c:lineChart>
        <c:varyColors val="0"/>
        <c:ser>
          <c:idx val="2"/>
          <c:order val="2"/>
          <c:tx>
            <c:strRef>
              <c:f>'8.1 - pareto del punto 7.1'!$D$3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'8.1 - pareto del punto 7.1'!$A$4:$A$11</c:f>
            </c:strRef>
          </c:cat>
          <c:val>
            <c:numRef>
              <c:f>'8.1 - pareto del punto 7.1'!$D$4:$D$11</c:f>
              <c:numCache/>
            </c:numRef>
          </c:val>
          <c:smooth val="0"/>
        </c:ser>
        <c:axId val="1265287177"/>
        <c:axId val="1810034268"/>
      </c:lineChart>
      <c:catAx>
        <c:axId val="126528717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0034268"/>
      </c:catAx>
      <c:valAx>
        <c:axId val="1810034268"/>
        <c:scaling>
          <c:orientation val="minMax"/>
          <c:max val="1.0"/>
          <c:min val="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Acumulado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528717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Cantidad vendida por municipio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'8.2 - parapeto punto 7.2'!$B$2</c:f>
            </c:strRef>
          </c:tx>
          <c:spPr>
            <a:solidFill>
              <a:srgbClr val="0000FF"/>
            </a:solidFill>
            <a:ln cmpd="sng">
              <a:noFill/>
            </a:ln>
          </c:spPr>
          <c:invertIfNegative val="0"/>
          <c:cat>
            <c:strRef>
              <c:f>'8.2 - parapeto punto 7.2'!$A$3:$A$17</c:f>
            </c:strRef>
          </c:cat>
          <c:val>
            <c:numRef>
              <c:f>'8.2 - parapeto punto 7.2'!$B$3:$B$17</c:f>
              <c:numCache/>
            </c:numRef>
          </c:val>
        </c:ser>
        <c:ser>
          <c:idx val="1"/>
          <c:order val="1"/>
          <c:tx>
            <c:strRef>
              <c:f>'8.2 - parapeto punto 7.2'!$C$2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'8.2 - parapeto punto 7.2'!$A$3:$A$17</c:f>
            </c:strRef>
          </c:cat>
          <c:val>
            <c:numRef>
              <c:f>'8.2 - parapeto punto 7.2'!$C$3:$C$17</c:f>
              <c:numCache/>
            </c:numRef>
          </c:val>
        </c:ser>
        <c:axId val="676294451"/>
        <c:axId val="1654147797"/>
      </c:barChart>
      <c:catAx>
        <c:axId val="676294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Municipio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4147797"/>
      </c:catAx>
      <c:valAx>
        <c:axId val="16541477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vendida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6294451"/>
      </c:valAx>
      <c:lineChart>
        <c:varyColors val="0"/>
        <c:ser>
          <c:idx val="2"/>
          <c:order val="2"/>
          <c:tx>
            <c:strRef>
              <c:f>'8.2 - parapeto punto 7.2'!$D$2</c:f>
            </c:strRef>
          </c:tx>
          <c:spPr>
            <a:ln cmpd="sng">
              <a:solidFill>
                <a:schemeClr val="dk1"/>
              </a:solidFill>
            </a:ln>
          </c:spPr>
          <c:marker>
            <c:symbol val="circle"/>
            <c:size val="2"/>
            <c:spPr>
              <a:solidFill>
                <a:schemeClr val="dk1"/>
              </a:solidFill>
              <a:ln cmpd="sng">
                <a:solidFill>
                  <a:schemeClr val="dk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'8.2 - parapeto punto 7.2'!$A$3:$A$17</c:f>
            </c:strRef>
          </c:cat>
          <c:val>
            <c:numRef>
              <c:f>'8.2 - parapeto punto 7.2'!$D$3:$D$17</c:f>
              <c:numCache/>
            </c:numRef>
          </c:val>
          <c:smooth val="0"/>
        </c:ser>
        <c:axId val="498900081"/>
        <c:axId val="1043341526"/>
      </c:lineChart>
      <c:catAx>
        <c:axId val="49890008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3341526"/>
      </c:catAx>
      <c:valAx>
        <c:axId val="104334152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Acumulado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890008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Cantidad de Manzaloca vendida por departamento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'8.3 - parapeto punto 7.3'!$B$2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'8.3 - parapeto punto 7.3'!$A$3:$A$7</c:f>
            </c:strRef>
          </c:cat>
          <c:val>
            <c:numRef>
              <c:f>'8.3 - parapeto punto 7.3'!$B$3:$B$7</c:f>
              <c:numCache/>
            </c:numRef>
          </c:val>
        </c:ser>
        <c:axId val="1532477911"/>
        <c:axId val="1946161020"/>
      </c:barChart>
      <c:catAx>
        <c:axId val="1532477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Departamento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6161020"/>
      </c:catAx>
      <c:valAx>
        <c:axId val="19461610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vendida (unidades)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2477911"/>
      </c:valAx>
      <c:lineChart>
        <c:varyColors val="0"/>
        <c:ser>
          <c:idx val="1"/>
          <c:order val="1"/>
          <c:tx>
            <c:strRef>
              <c:f>'8.3 - parapeto punto 7.3'!$C$2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'8.3 - parapeto punto 7.3'!$A$3:$A$7</c:f>
            </c:strRef>
          </c:cat>
          <c:val>
            <c:numRef>
              <c:f>'8.3 - parapeto punto 7.3'!$C$3:$C$7</c:f>
              <c:numCache/>
            </c:numRef>
          </c:val>
          <c:smooth val="0"/>
        </c:ser>
        <c:axId val="31682607"/>
        <c:axId val="1258464638"/>
      </c:lineChart>
      <c:catAx>
        <c:axId val="316826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8464638"/>
      </c:catAx>
      <c:valAx>
        <c:axId val="125846463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Acomulado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68260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Municipios con menores ventas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'8.4 Parapeto punto 7.4'!$B$2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'8.4 Parapeto punto 7.4'!$A$3:$A$7</c:f>
            </c:strRef>
          </c:cat>
          <c:val>
            <c:numRef>
              <c:f>'8.4 Parapeto punto 7.4'!$B$3:$B$7</c:f>
              <c:numCache/>
            </c:numRef>
          </c:val>
        </c:ser>
        <c:axId val="572845991"/>
        <c:axId val="1081443253"/>
      </c:barChart>
      <c:catAx>
        <c:axId val="572845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Municipios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081443253"/>
      </c:catAx>
      <c:valAx>
        <c:axId val="10814432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Monto vendido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2845991"/>
      </c:valAx>
      <c:lineChart>
        <c:varyColors val="0"/>
        <c:ser>
          <c:idx val="1"/>
          <c:order val="1"/>
          <c:tx>
            <c:strRef>
              <c:f>'8.4 Parapeto punto 7.4'!$C$2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'8.4 Parapeto punto 7.4'!$A$3:$A$7</c:f>
            </c:strRef>
          </c:cat>
          <c:val>
            <c:numRef>
              <c:f>'8.4 Parapeto punto 7.4'!$C$3:$C$7</c:f>
              <c:numCache/>
            </c:numRef>
          </c:val>
          <c:smooth val="0"/>
        </c:ser>
        <c:axId val="8592188"/>
        <c:axId val="1779553290"/>
      </c:lineChart>
      <c:catAx>
        <c:axId val="85921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779553290"/>
      </c:catAx>
      <c:valAx>
        <c:axId val="177955329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Acumulado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9218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Region Centro Oriente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'8.5 torta punto 7.5'!$H$6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'8.5 torta punto 7.5'!$G$7:$G$10</c:f>
            </c:strRef>
          </c:cat>
          <c:val>
            <c:numRef>
              <c:f>'8.5 torta punto 7.5'!$H$7:$H$10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Región Caribe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'8.5 torta punto 7.5'!$K$6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'8.5 torta punto 7.5'!$J$7:$J$10</c:f>
            </c:strRef>
          </c:cat>
          <c:val>
            <c:numRef>
              <c:f>'8.5 torta punto 7.5'!$K$7:$K$10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Región Pacifico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'8.5 torta punto 7.5'!$N$6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'8.5 torta punto 7.5'!$M$7:$M$10</c:f>
            </c:strRef>
          </c:cat>
          <c:val>
            <c:numRef>
              <c:f>'8.5 torta punto 7.5'!$N$7:$N$10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Región Eje Cafetero - Antioquia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'8.5 torta punto 7.5'!$Q$6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'8.5 torta punto 7.5'!$P$7:$P$10</c:f>
            </c:strRef>
          </c:cat>
          <c:val>
            <c:numRef>
              <c:f>'8.5 torta punto 7.5'!$Q$7:$Q$10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Región Centro Sur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'8.5 torta punto 7.5'!$T$6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'8.5 torta punto 7.5'!$S$7:$S$10</c:f>
            </c:strRef>
          </c:cat>
          <c:val>
            <c:numRef>
              <c:f>'8.5 torta punto 7.5'!$T$7:$T$10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Región Llano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'8.5 torta punto 7.5'!$W$6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'8.5 torta punto 7.5'!$V$7:$V$10</c:f>
            </c:strRef>
          </c:cat>
          <c:val>
            <c:numRef>
              <c:f>'8.5 torta punto 7.5'!$W$7:$W$10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Monto de venta por cada producto en Antioquia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'8.6 torta punto 7.6'!$B$3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'8.6 torta punto 7.6'!$A$4:$A$7</c:f>
            </c:strRef>
          </c:cat>
          <c:val>
            <c:numRef>
              <c:f>'8.6 torta punto 7.6'!$B$4:$B$7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Relationship Id="rId6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15</xdr:row>
      <xdr:rowOff>9525</xdr:rowOff>
    </xdr:from>
    <xdr:ext cx="7858125" cy="48577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66675</xdr:rowOff>
    </xdr:from>
    <xdr:ext cx="6915150" cy="37909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19050</xdr:rowOff>
    </xdr:from>
    <xdr:ext cx="8315325" cy="43434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10</xdr:row>
      <xdr:rowOff>38100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838200</xdr:colOff>
      <xdr:row>15</xdr:row>
      <xdr:rowOff>114300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123825</xdr:colOff>
      <xdr:row>29</xdr:row>
      <xdr:rowOff>161925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962025</xdr:colOff>
      <xdr:row>15</xdr:row>
      <xdr:rowOff>114300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257175</xdr:colOff>
      <xdr:row>29</xdr:row>
      <xdr:rowOff>161925</xdr:rowOff>
    </xdr:from>
    <xdr:ext cx="5715000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609600</xdr:colOff>
      <xdr:row>15</xdr:row>
      <xdr:rowOff>171450</xdr:rowOff>
    </xdr:from>
    <xdr:ext cx="5715000" cy="35337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609600</xdr:colOff>
      <xdr:row>31</xdr:row>
      <xdr:rowOff>85725</xdr:rowOff>
    </xdr:from>
    <xdr:ext cx="5715000" cy="35337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95250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D12" displayName="Ventas_por_departamento" name="Ventas_por_departamento" id="1">
  <tableColumns count="4">
    <tableColumn name="Departamento" id="1"/>
    <tableColumn name="Monto total (COP)" id="2"/>
    <tableColumn name="% del total" id="3"/>
    <tableColumn name="% acumulado" id="4"/>
  </tableColumns>
  <tableStyleInfo name="8.1 - pareto del punto 7.1-style" showColumnStripes="0" showFirstColumn="1" showLastColumn="1" showRowStripes="1"/>
</table>
</file>

<file path=xl/tables/table2.xml><?xml version="1.0" encoding="utf-8"?>
<table xmlns="http://schemas.openxmlformats.org/spreadsheetml/2006/main" totalsRowCount="1" ref="A2:D18" displayName="Cantidad_vendida_por_monicipiode_antioquia" name="Cantidad_vendida_por_monicipiode_antioquia" id="2">
  <tableColumns count="4">
    <tableColumn totalsRowLabel="TOTAL" name="Municipio" id="1"/>
    <tableColumn totalsRowFunction="custom" name="Cantidad total (unidades)" id="2"/>
    <tableColumn totalsRowFunction="custom" name="% del total" id="3"/>
    <tableColumn name="% acumulado" id="4"/>
  </tableColumns>
  <tableStyleInfo name="8.2 - parapeto punto 7.2-style" showColumnStripes="0" showFirstColumn="1" showLastColumn="1" showRowStripes="1"/>
</table>
</file>

<file path=xl/tables/table3.xml><?xml version="1.0" encoding="utf-8"?>
<table xmlns="http://schemas.openxmlformats.org/spreadsheetml/2006/main" ref="A2:C8" displayName="Cantidad_vendida_de_Manzaloca_por_departamento" name="Cantidad_vendida_de_Manzaloca_por_departamento" id="4">
  <tableColumns count="3">
    <tableColumn name="Departamento" id="1"/>
    <tableColumn name="Cantidad total un" id="2"/>
    <tableColumn name="% Acumulado" id="3"/>
  </tableColumns>
  <tableStyleInfo name="8.3 - parapeto punto 7.3-style" showColumnStripes="0" showFirstColumn="1" showLastColumn="1" showRowStripes="1"/>
</table>
</file>

<file path=xl/tables/table4.xml><?xml version="1.0" encoding="utf-8"?>
<table xmlns="http://schemas.openxmlformats.org/spreadsheetml/2006/main" totalsRowCount="1" ref="A2:C8" displayName="Municipios_con_menor_monto_de_ventas" name="Municipios_con_menor_monto_de_ventas" id="3">
  <tableColumns count="3">
    <tableColumn totalsRowLabel="TOTAL" name="Municipio (Departamento)" id="1"/>
    <tableColumn totalsRowFunction="custom" name="Monto total" id="2"/>
    <tableColumn name="% Acumulado" id="3"/>
  </tableColumns>
  <tableStyleInfo name="8.4 Parapeto punto 7.4-style" showColumnStripes="0" showFirstColumn="1" showLastColumn="1" showRowStripes="1"/>
</table>
</file>

<file path=xl/tables/table5.xml><?xml version="1.0" encoding="utf-8"?>
<table xmlns="http://schemas.openxmlformats.org/spreadsheetml/2006/main" ref="A6:C30" displayName="Unidades_de_productos_vendidas_por_region" name="Unidades_de_productos_vendidas_por_region" id="6">
  <tableColumns count="3">
    <tableColumn name="Region" id="1"/>
    <tableColumn name="Producto" id="2"/>
    <tableColumn name="Cantidad total (Unidades)" id="3"/>
  </tableColumns>
  <tableStyleInfo name="8.5 torta punto 7.5-style" showColumnStripes="0" showFirstColumn="1" showLastColumn="1" showRowStripes="1"/>
</table>
</file>

<file path=xl/tables/table6.xml><?xml version="1.0" encoding="utf-8"?>
<table xmlns="http://schemas.openxmlformats.org/spreadsheetml/2006/main" totalsRowCount="1" ref="A3:C8" displayName="Monto_de_venta_por_cada_producto_en_Antioquia" name="Monto_de_venta_por_cada_producto_en_Antioquia" id="5">
  <tableColumns count="3">
    <tableColumn totalsRowLabel="TOTAL" name="Producto" id="1"/>
    <tableColumn totalsRowFunction="custom" name="Monto total" id="2"/>
    <tableColumn name="%" id="3"/>
  </tableColumns>
  <tableStyleInfo name="8.6 torta punto 7.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2.38"/>
    <col customWidth="1" min="3" max="3" width="23.0"/>
    <col customWidth="1" min="4" max="4" width="19.0"/>
  </cols>
  <sheetData>
    <row r="3" ht="22.5" customHeight="1">
      <c r="A3" s="2" t="s">
        <v>0</v>
      </c>
      <c r="B3" s="2" t="s">
        <v>8</v>
      </c>
      <c r="C3" s="6" t="s">
        <v>10</v>
      </c>
      <c r="D3" s="6" t="s">
        <v>11</v>
      </c>
    </row>
    <row r="4" ht="22.5" customHeight="1">
      <c r="A4" s="10" t="s">
        <v>6</v>
      </c>
      <c r="B4" s="12">
        <v>1.057598E8</v>
      </c>
      <c r="C4" s="14">
        <f t="shared" ref="C4:C12" si="1">B4/$B$12</f>
        <v>0.1947239935</v>
      </c>
      <c r="D4" s="14">
        <f t="shared" ref="D4:D11" si="2">SUM($B$4:B4)/$B$12</f>
        <v>0.1947239935</v>
      </c>
    </row>
    <row r="5" ht="22.5" customHeight="1">
      <c r="A5" s="10" t="s">
        <v>20</v>
      </c>
      <c r="B5" s="12">
        <v>9.95139E7</v>
      </c>
      <c r="C5" s="14">
        <f t="shared" si="1"/>
        <v>0.1832240985</v>
      </c>
      <c r="D5" s="14">
        <f t="shared" si="2"/>
        <v>0.377948092</v>
      </c>
    </row>
    <row r="6" ht="22.5" customHeight="1">
      <c r="A6" s="10" t="s">
        <v>19</v>
      </c>
      <c r="B6" s="12">
        <v>9.33493E7</v>
      </c>
      <c r="C6" s="14">
        <f t="shared" si="1"/>
        <v>0.1718738924</v>
      </c>
      <c r="D6" s="14">
        <f t="shared" si="2"/>
        <v>0.5498219844</v>
      </c>
    </row>
    <row r="7" ht="22.5" customHeight="1">
      <c r="A7" s="10" t="s">
        <v>21</v>
      </c>
      <c r="B7" s="12">
        <v>7.36336E7</v>
      </c>
      <c r="C7" s="14">
        <f t="shared" si="1"/>
        <v>0.1355735227</v>
      </c>
      <c r="D7" s="14">
        <f t="shared" si="2"/>
        <v>0.6853955072</v>
      </c>
    </row>
    <row r="8" ht="22.5" customHeight="1">
      <c r="A8" s="10" t="s">
        <v>23</v>
      </c>
      <c r="B8" s="12">
        <v>5.41676E7</v>
      </c>
      <c r="C8" s="14">
        <f t="shared" si="1"/>
        <v>0.09973289842</v>
      </c>
      <c r="D8" s="14">
        <f t="shared" si="2"/>
        <v>0.7851284056</v>
      </c>
    </row>
    <row r="9" ht="22.5" customHeight="1">
      <c r="A9" s="10" t="s">
        <v>26</v>
      </c>
      <c r="B9" s="12">
        <v>4.02792E7</v>
      </c>
      <c r="C9" s="14">
        <f t="shared" si="1"/>
        <v>0.07416170113</v>
      </c>
      <c r="D9" s="14">
        <f t="shared" si="2"/>
        <v>0.8592901067</v>
      </c>
    </row>
    <row r="10" ht="22.5" customHeight="1">
      <c r="A10" s="10" t="s">
        <v>27</v>
      </c>
      <c r="B10" s="12">
        <v>3.98177E7</v>
      </c>
      <c r="C10" s="14">
        <f t="shared" si="1"/>
        <v>0.07331199147</v>
      </c>
      <c r="D10" s="14">
        <f t="shared" si="2"/>
        <v>0.9326020982</v>
      </c>
    </row>
    <row r="11" ht="22.5" customHeight="1">
      <c r="A11" s="10" t="s">
        <v>28</v>
      </c>
      <c r="B11" s="12">
        <v>3.66056E7</v>
      </c>
      <c r="C11" s="22">
        <f t="shared" si="1"/>
        <v>0.06739790182</v>
      </c>
      <c r="D11" s="14">
        <f t="shared" si="2"/>
        <v>1</v>
      </c>
    </row>
    <row r="12" ht="22.5" customHeight="1">
      <c r="A12" s="23" t="s">
        <v>24</v>
      </c>
      <c r="B12" s="24">
        <v>5.431267E8</v>
      </c>
      <c r="C12" s="22">
        <f t="shared" si="1"/>
        <v>1</v>
      </c>
      <c r="D12" s="22"/>
    </row>
  </sheetData>
  <dataValidations>
    <dataValidation type="custom" allowBlank="1" showDropDown="1" sqref="B4:D1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7.0"/>
    <col customWidth="1" min="3" max="3" width="16.38"/>
    <col customWidth="1" min="4" max="4" width="18.63"/>
  </cols>
  <sheetData>
    <row r="2" ht="22.5" customHeight="1">
      <c r="A2" s="1" t="s">
        <v>2</v>
      </c>
      <c r="B2" s="1" t="s">
        <v>9</v>
      </c>
      <c r="C2" s="1" t="s">
        <v>10</v>
      </c>
      <c r="D2" s="1" t="s">
        <v>11</v>
      </c>
    </row>
    <row r="3" ht="22.5" customHeight="1">
      <c r="A3" s="5" t="s">
        <v>12</v>
      </c>
      <c r="B3" s="9">
        <v>1850.0</v>
      </c>
      <c r="C3" s="15">
        <f>B3/Cantidad_vendida_por_monicipiode_antioquia[[#TOTALS],[Cantidad total (unidades)]]</f>
        <v>0.08019420001</v>
      </c>
      <c r="D3" s="17">
        <f t="shared" ref="D3:D17" si="1">SUM($B$3:B3)/$B$18</f>
        <v>0.08019420001</v>
      </c>
    </row>
    <row r="4" ht="22.5" customHeight="1">
      <c r="A4" s="5" t="s">
        <v>22</v>
      </c>
      <c r="B4" s="9">
        <v>1708.0</v>
      </c>
      <c r="C4" s="15">
        <f>B4/Cantidad_vendida_por_monicipiode_antioquia[[#TOTALS],[Cantidad total (unidades)]]</f>
        <v>0.07403875331</v>
      </c>
      <c r="D4" s="17">
        <f t="shared" si="1"/>
        <v>0.1542329533</v>
      </c>
    </row>
    <row r="5" ht="22.5" customHeight="1">
      <c r="A5" s="5" t="s">
        <v>25</v>
      </c>
      <c r="B5" s="9">
        <v>1699.0</v>
      </c>
      <c r="C5" s="15">
        <f>B5/Cantidad_vendida_por_monicipiode_antioquia[[#TOTALS],[Cantidad total (unidades)]]</f>
        <v>0.07364861936</v>
      </c>
      <c r="D5" s="17">
        <f t="shared" si="1"/>
        <v>0.2278815727</v>
      </c>
    </row>
    <row r="6" ht="22.5" customHeight="1">
      <c r="A6" s="5" t="s">
        <v>23</v>
      </c>
      <c r="B6" s="9">
        <v>1611.0</v>
      </c>
      <c r="C6" s="15">
        <f>B6/Cantidad_vendida_por_monicipiode_antioquia[[#TOTALS],[Cantidad total (unidades)]]</f>
        <v>0.06983397633</v>
      </c>
      <c r="D6" s="17">
        <f t="shared" si="1"/>
        <v>0.297715549</v>
      </c>
    </row>
    <row r="7" ht="22.5" customHeight="1">
      <c r="A7" s="5" t="s">
        <v>29</v>
      </c>
      <c r="B7" s="9">
        <v>1604.0</v>
      </c>
      <c r="C7" s="15">
        <f>B7/Cantidad_vendida_por_monicipiode_antioquia[[#TOTALS],[Cantidad total (unidades)]]</f>
        <v>0.06953053882</v>
      </c>
      <c r="D7" s="17">
        <f t="shared" si="1"/>
        <v>0.3672460878</v>
      </c>
    </row>
    <row r="8" ht="22.5" customHeight="1">
      <c r="A8" s="5" t="s">
        <v>30</v>
      </c>
      <c r="B8" s="9">
        <v>1600.0</v>
      </c>
      <c r="C8" s="15">
        <f>B8/Cantidad_vendida_por_monicipiode_antioquia[[#TOTALS],[Cantidad total (unidades)]]</f>
        <v>0.06935714595</v>
      </c>
      <c r="D8" s="17">
        <f t="shared" si="1"/>
        <v>0.4366032338</v>
      </c>
    </row>
    <row r="9" ht="22.5" customHeight="1">
      <c r="A9" s="5" t="s">
        <v>31</v>
      </c>
      <c r="B9" s="9">
        <v>1520.0</v>
      </c>
      <c r="C9" s="15">
        <f>B9/Cantidad_vendida_por_monicipiode_antioquia[[#TOTALS],[Cantidad total (unidades)]]</f>
        <v>0.06588928866</v>
      </c>
      <c r="D9" s="17">
        <f t="shared" si="1"/>
        <v>0.5024925224</v>
      </c>
    </row>
    <row r="10" ht="22.5" customHeight="1">
      <c r="A10" s="5" t="s">
        <v>32</v>
      </c>
      <c r="B10" s="9">
        <v>1514.0</v>
      </c>
      <c r="C10" s="15">
        <f>B10/Cantidad_vendida_por_monicipiode_antioquia[[#TOTALS],[Cantidad total (unidades)]]</f>
        <v>0.06562919936</v>
      </c>
      <c r="D10" s="17">
        <f t="shared" si="1"/>
        <v>0.5681217218</v>
      </c>
    </row>
    <row r="11" ht="22.5" customHeight="1">
      <c r="A11" s="5" t="s">
        <v>33</v>
      </c>
      <c r="B11" s="9">
        <v>1510.0</v>
      </c>
      <c r="C11" s="15">
        <f>B11/Cantidad_vendida_por_monicipiode_antioquia[[#TOTALS],[Cantidad total (unidades)]]</f>
        <v>0.06545580649</v>
      </c>
      <c r="D11" s="17">
        <f t="shared" si="1"/>
        <v>0.6335775283</v>
      </c>
    </row>
    <row r="12" ht="22.5" customHeight="1">
      <c r="A12" s="5" t="s">
        <v>34</v>
      </c>
      <c r="B12" s="9">
        <v>1441.0</v>
      </c>
      <c r="C12" s="15">
        <f>B12/Cantidad_vendida_por_monicipiode_antioquia[[#TOTALS],[Cantidad total (unidades)]]</f>
        <v>0.06246477957</v>
      </c>
      <c r="D12" s="17">
        <f t="shared" si="1"/>
        <v>0.6960423079</v>
      </c>
    </row>
    <row r="13" ht="22.5" customHeight="1">
      <c r="A13" s="5" t="s">
        <v>35</v>
      </c>
      <c r="B13" s="9">
        <v>1430.0</v>
      </c>
      <c r="C13" s="15">
        <f>B13/Cantidad_vendida_por_monicipiode_antioquia[[#TOTALS],[Cantidad total (unidades)]]</f>
        <v>0.0619879492</v>
      </c>
      <c r="D13" s="17">
        <f t="shared" si="1"/>
        <v>0.7580302571</v>
      </c>
    </row>
    <row r="14" ht="22.5" customHeight="1">
      <c r="A14" s="5" t="s">
        <v>36</v>
      </c>
      <c r="B14" s="9">
        <v>1412.0</v>
      </c>
      <c r="C14" s="15">
        <f>B14/Cantidad_vendida_por_monicipiode_antioquia[[#TOTALS],[Cantidad total (unidades)]]</f>
        <v>0.0612076813</v>
      </c>
      <c r="D14" s="17">
        <f t="shared" si="1"/>
        <v>0.8192379384</v>
      </c>
    </row>
    <row r="15" ht="22.5" customHeight="1">
      <c r="A15" s="5" t="s">
        <v>37</v>
      </c>
      <c r="B15" s="9">
        <v>1399.0</v>
      </c>
      <c r="C15" s="15">
        <f>B15/Cantidad_vendida_por_monicipiode_antioquia[[#TOTALS],[Cantidad total (unidades)]]</f>
        <v>0.06064415449</v>
      </c>
      <c r="D15" s="17">
        <f t="shared" si="1"/>
        <v>0.8798820929</v>
      </c>
    </row>
    <row r="16" ht="22.5" customHeight="1">
      <c r="A16" s="5" t="s">
        <v>41</v>
      </c>
      <c r="B16" s="9">
        <v>1391.0</v>
      </c>
      <c r="C16" s="15">
        <f>B16/Cantidad_vendida_por_monicipiode_antioquia[[#TOTALS],[Cantidad total (unidades)]]</f>
        <v>0.06029736876</v>
      </c>
      <c r="D16" s="17">
        <f t="shared" si="1"/>
        <v>0.9401794616</v>
      </c>
    </row>
    <row r="17" ht="22.5" customHeight="1">
      <c r="A17" s="5" t="s">
        <v>43</v>
      </c>
      <c r="B17" s="9">
        <v>1380.0</v>
      </c>
      <c r="C17" s="15">
        <f>B17/Cantidad_vendida_por_monicipiode_antioquia[[#TOTALS],[Cantidad total (unidades)]]</f>
        <v>0.05982053838</v>
      </c>
      <c r="D17" s="17">
        <f t="shared" si="1"/>
        <v>1</v>
      </c>
    </row>
    <row r="18" ht="22.5" customHeight="1">
      <c r="A18" s="16" t="s">
        <v>17</v>
      </c>
      <c r="B18" s="27">
        <f>SUM(Cantidad_vendida_por_monicipiode_antioquia[Cantidad total (unidades)])</f>
        <v>23069</v>
      </c>
      <c r="C18" s="28">
        <f>SUM(Cantidad_vendida_por_monicipiode_antioquia[% del total])</f>
        <v>1</v>
      </c>
    </row>
  </sheetData>
  <dataValidations>
    <dataValidation type="custom" allowBlank="1" showDropDown="1" sqref="C3:D17">
      <formula1>AND(ISNUMBER(C3),(NOT(OR(NOT(ISERROR(DATEVALUE(C3))), AND(ISNUMBER(C3), LEFT(CELL("format", C3))="D")))))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1.38"/>
    <col customWidth="1" min="3" max="3" width="18.88"/>
  </cols>
  <sheetData>
    <row r="2" ht="22.5" customHeight="1">
      <c r="A2" s="1" t="s">
        <v>0</v>
      </c>
      <c r="B2" s="1" t="s">
        <v>3</v>
      </c>
      <c r="C2" s="1" t="s">
        <v>5</v>
      </c>
    </row>
    <row r="3" ht="22.5" customHeight="1">
      <c r="A3" s="3" t="s">
        <v>6</v>
      </c>
      <c r="B3" s="7">
        <v>27305.0</v>
      </c>
      <c r="C3" s="13">
        <f t="shared" ref="C3:C7" si="1">SUM($B$3:B3)/$B$8</f>
        <v>0.2373501621</v>
      </c>
    </row>
    <row r="4" ht="22.5" customHeight="1">
      <c r="A4" s="3" t="s">
        <v>18</v>
      </c>
      <c r="B4" s="7">
        <v>26577.0</v>
      </c>
      <c r="C4" s="13">
        <f t="shared" si="1"/>
        <v>0.4683721456</v>
      </c>
    </row>
    <row r="5" ht="22.5" customHeight="1">
      <c r="A5" s="3" t="s">
        <v>19</v>
      </c>
      <c r="B5" s="7">
        <v>25510.0</v>
      </c>
      <c r="C5" s="13">
        <f t="shared" si="1"/>
        <v>0.6901191749</v>
      </c>
    </row>
    <row r="6" ht="22.5" customHeight="1">
      <c r="A6" s="3" t="s">
        <v>21</v>
      </c>
      <c r="B6" s="7">
        <v>21376.0</v>
      </c>
      <c r="C6" s="13">
        <f t="shared" si="1"/>
        <v>0.8759311897</v>
      </c>
    </row>
    <row r="7" ht="22.5" customHeight="1">
      <c r="A7" s="3" t="s">
        <v>23</v>
      </c>
      <c r="B7" s="7">
        <v>14273.0</v>
      </c>
      <c r="C7" s="13">
        <f t="shared" si="1"/>
        <v>1</v>
      </c>
    </row>
    <row r="8" ht="22.5" customHeight="1">
      <c r="A8" s="19" t="s">
        <v>24</v>
      </c>
      <c r="B8" s="20">
        <f>SUM(B3:B7)</f>
        <v>115041</v>
      </c>
      <c r="C8" s="21"/>
    </row>
  </sheetData>
  <dataValidations>
    <dataValidation type="custom" allowBlank="1" showDropDown="1" sqref="B3:C8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17.25"/>
    <col customWidth="1" min="3" max="3" width="18.88"/>
  </cols>
  <sheetData>
    <row r="2" ht="22.5" customHeight="1">
      <c r="A2" s="1" t="s">
        <v>1</v>
      </c>
      <c r="B2" s="1" t="s">
        <v>4</v>
      </c>
      <c r="C2" s="1" t="s">
        <v>5</v>
      </c>
    </row>
    <row r="3" ht="22.5" customHeight="1">
      <c r="A3" s="4" t="s">
        <v>7</v>
      </c>
      <c r="B3" s="8">
        <v>104200.0</v>
      </c>
      <c r="C3" s="11">
        <v>0.23373710183938987</v>
      </c>
    </row>
    <row r="4" ht="22.5" customHeight="1">
      <c r="A4" s="4" t="s">
        <v>13</v>
      </c>
      <c r="B4" s="8">
        <v>94200.0</v>
      </c>
      <c r="C4" s="11">
        <v>0.44504262000897266</v>
      </c>
    </row>
    <row r="5" ht="22.5" customHeight="1">
      <c r="A5" s="4" t="s">
        <v>14</v>
      </c>
      <c r="B5" s="8">
        <v>92800.0</v>
      </c>
      <c r="C5" s="11">
        <v>0.6532077164647824</v>
      </c>
    </row>
    <row r="6" ht="22.5" customHeight="1">
      <c r="A6" s="4" t="s">
        <v>15</v>
      </c>
      <c r="B6" s="8">
        <v>86400.0</v>
      </c>
      <c r="C6" s="11">
        <v>0.8470165993719156</v>
      </c>
    </row>
    <row r="7" ht="22.5" customHeight="1">
      <c r="A7" s="4" t="s">
        <v>16</v>
      </c>
      <c r="B7" s="8">
        <v>68200.0</v>
      </c>
      <c r="C7" s="11">
        <v>1.0</v>
      </c>
    </row>
    <row r="8" ht="22.5" customHeight="1">
      <c r="A8" s="16" t="s">
        <v>17</v>
      </c>
      <c r="B8" s="18">
        <f>SUM(Municipios_con_menor_monto_de_ventas[Monto total])</f>
        <v>445800</v>
      </c>
    </row>
  </sheetData>
  <dataValidations>
    <dataValidation type="custom" allowBlank="1" showDropDown="1" sqref="B3:C7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9.38"/>
    <col customWidth="1" min="3" max="3" width="27.63"/>
    <col customWidth="1" min="5" max="5" width="26.25"/>
    <col customWidth="1" min="16" max="16" width="16.75"/>
    <col customWidth="1" min="19" max="19" width="15.63"/>
    <col customWidth="1" min="22" max="22" width="16.25"/>
  </cols>
  <sheetData>
    <row r="6" ht="22.5" customHeight="1">
      <c r="A6" s="1" t="s">
        <v>46</v>
      </c>
      <c r="B6" s="1" t="s">
        <v>38</v>
      </c>
      <c r="C6" s="1" t="s">
        <v>47</v>
      </c>
      <c r="G6" s="29" t="str">
        <f>E7</f>
        <v>Region Centro Oriente</v>
      </c>
      <c r="J6" s="29" t="str">
        <f>E8</f>
        <v>Region Caribe</v>
      </c>
      <c r="M6" s="29" t="str">
        <f>E9</f>
        <v>Region Pacifico</v>
      </c>
      <c r="P6" s="29" t="str">
        <f>E10</f>
        <v>Region Eje Cafetero - Antioquia</v>
      </c>
      <c r="S6" s="29" t="str">
        <f>E11</f>
        <v>Region Centro Sur</v>
      </c>
      <c r="V6" s="29" t="str">
        <f>E12</f>
        <v>Region Llano</v>
      </c>
    </row>
    <row r="7" ht="22.5" customHeight="1">
      <c r="A7" s="4" t="s">
        <v>48</v>
      </c>
      <c r="B7" s="4" t="s">
        <v>44</v>
      </c>
      <c r="C7" s="30">
        <v>83105.0</v>
      </c>
      <c r="E7" s="29" t="str">
        <f t="array" ref="E7:E12">UNIQUE(A7:A30)</f>
        <v>Region Centro Oriente</v>
      </c>
      <c r="G7" s="31" t="str">
        <f>IFERROR(__xludf.DUMMYFUNCTION("FILTER($B$7:$C$30, $A$7:$A$30=G6)"),"MANGOSON")</f>
        <v>MANGOSON</v>
      </c>
      <c r="H7" s="32">
        <f>IFERROR(__xludf.DUMMYFUNCTION("""COMPUTED_VALUE"""),83105.0)</f>
        <v>83105</v>
      </c>
      <c r="J7" s="31" t="str">
        <f>IFERROR(__xludf.DUMMYFUNCTION("FILTER($B$7:$C$30, $A$7:$A$30=J6)"),"NARANJITA")</f>
        <v>NARANJITA</v>
      </c>
      <c r="K7" s="32">
        <f>IFERROR(__xludf.DUMMYFUNCTION("""COMPUTED_VALUE"""),47274.0)</f>
        <v>47274</v>
      </c>
      <c r="M7" s="31" t="str">
        <f>IFERROR(__xludf.DUMMYFUNCTION("FILTER($B$7:$C$30, $A$7:$A$30=M6)"),"MANGOSON")</f>
        <v>MANGOSON</v>
      </c>
      <c r="N7" s="32">
        <f>IFERROR(__xludf.DUMMYFUNCTION("""COMPUTED_VALUE"""),43859.0)</f>
        <v>43859</v>
      </c>
      <c r="P7" s="31" t="str">
        <f>IFERROR(__xludf.DUMMYFUNCTION("FILTER($B$7:$C$30, $A$7:$A$30=P6)"),"COLOMBIANITA")</f>
        <v>COLOMBIANITA</v>
      </c>
      <c r="Q7" s="32">
        <f>IFERROR(__xludf.DUMMYFUNCTION("""COMPUTED_VALUE"""),41966.0)</f>
        <v>41966</v>
      </c>
      <c r="S7" s="31" t="str">
        <f>IFERROR(__xludf.DUMMYFUNCTION("FILTER($B$7:$C$30, $A$7:$A$30=S6)"),"NARANJITA")</f>
        <v>NARANJITA</v>
      </c>
      <c r="T7" s="32">
        <f>IFERROR(__xludf.DUMMYFUNCTION("""COMPUTED_VALUE"""),29775.0)</f>
        <v>29775</v>
      </c>
      <c r="V7" s="31" t="str">
        <f>IFERROR(__xludf.DUMMYFUNCTION("FILTER($B$7:$C$30, $A$7:$A$30=V6)"),"MANZALOCA")</f>
        <v>MANZALOCA</v>
      </c>
      <c r="W7" s="32">
        <f>IFERROR(__xludf.DUMMYFUNCTION("""COMPUTED_VALUE"""),16444.0)</f>
        <v>16444</v>
      </c>
    </row>
    <row r="8" ht="22.5" customHeight="1">
      <c r="A8" s="4" t="s">
        <v>48</v>
      </c>
      <c r="B8" s="4" t="s">
        <v>42</v>
      </c>
      <c r="C8" s="30">
        <v>82590.0</v>
      </c>
      <c r="E8" s="29" t="s">
        <v>49</v>
      </c>
      <c r="G8" s="31" t="str">
        <f>IFERROR(__xludf.DUMMYFUNCTION("""COMPUTED_VALUE"""),"MANZALOCA")</f>
        <v>MANZALOCA</v>
      </c>
      <c r="H8" s="32">
        <f>IFERROR(__xludf.DUMMYFUNCTION("""COMPUTED_VALUE"""),82590.0)</f>
        <v>82590</v>
      </c>
      <c r="J8" s="31" t="str">
        <f>IFERROR(__xludf.DUMMYFUNCTION("""COMPUTED_VALUE"""),"COLOMBIANITA")</f>
        <v>COLOMBIANITA</v>
      </c>
      <c r="K8" s="32">
        <f>IFERROR(__xludf.DUMMYFUNCTION("""COMPUTED_VALUE"""),44702.0)</f>
        <v>44702</v>
      </c>
      <c r="M8" s="31" t="str">
        <f>IFERROR(__xludf.DUMMYFUNCTION("""COMPUTED_VALUE"""),"COLOMBIANITA")</f>
        <v>COLOMBIANITA</v>
      </c>
      <c r="N8" s="32">
        <f>IFERROR(__xludf.DUMMYFUNCTION("""COMPUTED_VALUE"""),42949.0)</f>
        <v>42949</v>
      </c>
      <c r="P8" s="31" t="str">
        <f>IFERROR(__xludf.DUMMYFUNCTION("""COMPUTED_VALUE"""),"NARANJITA")</f>
        <v>NARANJITA</v>
      </c>
      <c r="Q8" s="32">
        <f>IFERROR(__xludf.DUMMYFUNCTION("""COMPUTED_VALUE"""),41405.0)</f>
        <v>41405</v>
      </c>
      <c r="S8" s="31" t="str">
        <f>IFERROR(__xludf.DUMMYFUNCTION("""COMPUTED_VALUE"""),"MANZALOCA")</f>
        <v>MANZALOCA</v>
      </c>
      <c r="T8" s="32">
        <f>IFERROR(__xludf.DUMMYFUNCTION("""COMPUTED_VALUE"""),28327.0)</f>
        <v>28327</v>
      </c>
      <c r="V8" s="31" t="str">
        <f>IFERROR(__xludf.DUMMYFUNCTION("""COMPUTED_VALUE"""),"NARANJITA")</f>
        <v>NARANJITA</v>
      </c>
      <c r="W8" s="32">
        <f>IFERROR(__xludf.DUMMYFUNCTION("""COMPUTED_VALUE"""),15595.0)</f>
        <v>15595</v>
      </c>
    </row>
    <row r="9" ht="22.5" customHeight="1">
      <c r="A9" s="4" t="s">
        <v>48</v>
      </c>
      <c r="B9" s="4" t="s">
        <v>45</v>
      </c>
      <c r="C9" s="30">
        <v>82514.0</v>
      </c>
      <c r="E9" s="29" t="s">
        <v>50</v>
      </c>
      <c r="G9" s="31" t="str">
        <f>IFERROR(__xludf.DUMMYFUNCTION("""COMPUTED_VALUE"""),"NARANJITA")</f>
        <v>NARANJITA</v>
      </c>
      <c r="H9" s="32">
        <f>IFERROR(__xludf.DUMMYFUNCTION("""COMPUTED_VALUE"""),82514.0)</f>
        <v>82514</v>
      </c>
      <c r="J9" s="31" t="str">
        <f>IFERROR(__xludf.DUMMYFUNCTION("""COMPUTED_VALUE"""),"MANGOSON")</f>
        <v>MANGOSON</v>
      </c>
      <c r="K9" s="32">
        <f>IFERROR(__xludf.DUMMYFUNCTION("""COMPUTED_VALUE"""),44699.0)</f>
        <v>44699</v>
      </c>
      <c r="M9" s="31" t="str">
        <f>IFERROR(__xludf.DUMMYFUNCTION("""COMPUTED_VALUE"""),"NARANJITA")</f>
        <v>NARANJITA</v>
      </c>
      <c r="N9" s="32">
        <f>IFERROR(__xludf.DUMMYFUNCTION("""COMPUTED_VALUE"""),39984.0)</f>
        <v>39984</v>
      </c>
      <c r="P9" s="31" t="str">
        <f>IFERROR(__xludf.DUMMYFUNCTION("""COMPUTED_VALUE"""),"MANGOSON")</f>
        <v>MANGOSON</v>
      </c>
      <c r="Q9" s="32">
        <f>IFERROR(__xludf.DUMMYFUNCTION("""COMPUTED_VALUE"""),39231.0)</f>
        <v>39231</v>
      </c>
      <c r="S9" s="31" t="str">
        <f>IFERROR(__xludf.DUMMYFUNCTION("""COMPUTED_VALUE"""),"MANGOSON")</f>
        <v>MANGOSON</v>
      </c>
      <c r="T9" s="32">
        <f>IFERROR(__xludf.DUMMYFUNCTION("""COMPUTED_VALUE"""),28248.0)</f>
        <v>28248</v>
      </c>
      <c r="V9" s="31" t="str">
        <f>IFERROR(__xludf.DUMMYFUNCTION("""COMPUTED_VALUE"""),"COLOMBIANITA")</f>
        <v>COLOMBIANITA</v>
      </c>
      <c r="W9" s="32">
        <f>IFERROR(__xludf.DUMMYFUNCTION("""COMPUTED_VALUE"""),14430.0)</f>
        <v>14430</v>
      </c>
    </row>
    <row r="10" ht="22.5" customHeight="1">
      <c r="A10" s="4" t="s">
        <v>48</v>
      </c>
      <c r="B10" s="4" t="s">
        <v>40</v>
      </c>
      <c r="C10" s="30">
        <v>78059.0</v>
      </c>
      <c r="E10" s="29" t="s">
        <v>51</v>
      </c>
      <c r="G10" s="31" t="str">
        <f>IFERROR(__xludf.DUMMYFUNCTION("""COMPUTED_VALUE"""),"COLOMBIANITA")</f>
        <v>COLOMBIANITA</v>
      </c>
      <c r="H10" s="32">
        <f>IFERROR(__xludf.DUMMYFUNCTION("""COMPUTED_VALUE"""),78059.0)</f>
        <v>78059</v>
      </c>
      <c r="J10" s="31" t="str">
        <f>IFERROR(__xludf.DUMMYFUNCTION("""COMPUTED_VALUE"""),"MANZALOCA")</f>
        <v>MANZALOCA</v>
      </c>
      <c r="K10" s="32">
        <f>IFERROR(__xludf.DUMMYFUNCTION("""COMPUTED_VALUE"""),42727.0)</f>
        <v>42727</v>
      </c>
      <c r="M10" s="31" t="str">
        <f>IFERROR(__xludf.DUMMYFUNCTION("""COMPUTED_VALUE"""),"MANZALOCA")</f>
        <v>MANZALOCA</v>
      </c>
      <c r="N10" s="32">
        <f>IFERROR(__xludf.DUMMYFUNCTION("""COMPUTED_VALUE"""),39871.0)</f>
        <v>39871</v>
      </c>
      <c r="P10" s="31" t="str">
        <f>IFERROR(__xludf.DUMMYFUNCTION("""COMPUTED_VALUE"""),"MANZALOCA")</f>
        <v>MANZALOCA</v>
      </c>
      <c r="Q10" s="32">
        <f>IFERROR(__xludf.DUMMYFUNCTION("""COMPUTED_VALUE"""),38089.0)</f>
        <v>38089</v>
      </c>
      <c r="S10" s="31" t="str">
        <f>IFERROR(__xludf.DUMMYFUNCTION("""COMPUTED_VALUE"""),"COLOMBIANITA")</f>
        <v>COLOMBIANITA</v>
      </c>
      <c r="T10" s="32">
        <f>IFERROR(__xludf.DUMMYFUNCTION("""COMPUTED_VALUE"""),27858.0)</f>
        <v>27858</v>
      </c>
      <c r="V10" s="31" t="str">
        <f>IFERROR(__xludf.DUMMYFUNCTION("""COMPUTED_VALUE"""),"MANGOSON")</f>
        <v>MANGOSON</v>
      </c>
      <c r="W10" s="32">
        <f>IFERROR(__xludf.DUMMYFUNCTION("""COMPUTED_VALUE"""),14054.0)</f>
        <v>14054</v>
      </c>
    </row>
    <row r="11" ht="22.5" customHeight="1">
      <c r="A11" s="4" t="s">
        <v>49</v>
      </c>
      <c r="B11" s="4" t="s">
        <v>45</v>
      </c>
      <c r="C11" s="30">
        <v>47274.0</v>
      </c>
      <c r="E11" s="29" t="s">
        <v>52</v>
      </c>
    </row>
    <row r="12" ht="22.5" customHeight="1">
      <c r="A12" s="4" t="s">
        <v>49</v>
      </c>
      <c r="B12" s="4" t="s">
        <v>40</v>
      </c>
      <c r="C12" s="30">
        <v>44702.0</v>
      </c>
      <c r="E12" s="29" t="s">
        <v>53</v>
      </c>
    </row>
    <row r="13" ht="22.5" customHeight="1">
      <c r="A13" s="4" t="s">
        <v>49</v>
      </c>
      <c r="B13" s="4" t="s">
        <v>44</v>
      </c>
      <c r="C13" s="30">
        <v>44699.0</v>
      </c>
    </row>
    <row r="14" ht="22.5" customHeight="1">
      <c r="A14" s="4" t="s">
        <v>50</v>
      </c>
      <c r="B14" s="4" t="s">
        <v>44</v>
      </c>
      <c r="C14" s="30">
        <v>43859.0</v>
      </c>
    </row>
    <row r="15" ht="22.5" customHeight="1">
      <c r="A15" s="4" t="s">
        <v>50</v>
      </c>
      <c r="B15" s="4" t="s">
        <v>40</v>
      </c>
      <c r="C15" s="30">
        <v>42949.0</v>
      </c>
    </row>
    <row r="16" ht="22.5" customHeight="1">
      <c r="A16" s="4" t="s">
        <v>49</v>
      </c>
      <c r="B16" s="4" t="s">
        <v>42</v>
      </c>
      <c r="C16" s="30">
        <v>42727.0</v>
      </c>
    </row>
    <row r="17" ht="22.5" customHeight="1">
      <c r="A17" s="4" t="s">
        <v>51</v>
      </c>
      <c r="B17" s="4" t="s">
        <v>40</v>
      </c>
      <c r="C17" s="30">
        <v>41966.0</v>
      </c>
    </row>
    <row r="18" ht="22.5" customHeight="1">
      <c r="A18" s="4" t="s">
        <v>51</v>
      </c>
      <c r="B18" s="4" t="s">
        <v>45</v>
      </c>
      <c r="C18" s="30">
        <v>41405.0</v>
      </c>
    </row>
    <row r="19" ht="22.5" customHeight="1">
      <c r="A19" s="4" t="s">
        <v>50</v>
      </c>
      <c r="B19" s="4" t="s">
        <v>45</v>
      </c>
      <c r="C19" s="30">
        <v>39984.0</v>
      </c>
    </row>
    <row r="20" ht="22.5" customHeight="1">
      <c r="A20" s="4" t="s">
        <v>50</v>
      </c>
      <c r="B20" s="4" t="s">
        <v>42</v>
      </c>
      <c r="C20" s="30">
        <v>39871.0</v>
      </c>
    </row>
    <row r="21" ht="22.5" customHeight="1">
      <c r="A21" s="4" t="s">
        <v>51</v>
      </c>
      <c r="B21" s="4" t="s">
        <v>44</v>
      </c>
      <c r="C21" s="30">
        <v>39231.0</v>
      </c>
    </row>
    <row r="22" ht="22.5" customHeight="1">
      <c r="A22" s="4" t="s">
        <v>51</v>
      </c>
      <c r="B22" s="4" t="s">
        <v>42</v>
      </c>
      <c r="C22" s="30">
        <v>38089.0</v>
      </c>
    </row>
    <row r="23" ht="22.5" customHeight="1">
      <c r="A23" s="4" t="s">
        <v>52</v>
      </c>
      <c r="B23" s="4" t="s">
        <v>45</v>
      </c>
      <c r="C23" s="30">
        <v>29775.0</v>
      </c>
    </row>
    <row r="24" ht="22.5" customHeight="1">
      <c r="A24" s="4" t="s">
        <v>52</v>
      </c>
      <c r="B24" s="4" t="s">
        <v>42</v>
      </c>
      <c r="C24" s="30">
        <v>28327.0</v>
      </c>
    </row>
    <row r="25" ht="22.5" customHeight="1">
      <c r="A25" s="4" t="s">
        <v>52</v>
      </c>
      <c r="B25" s="4" t="s">
        <v>44</v>
      </c>
      <c r="C25" s="30">
        <v>28248.0</v>
      </c>
    </row>
    <row r="26" ht="22.5" customHeight="1">
      <c r="A26" s="4" t="s">
        <v>52</v>
      </c>
      <c r="B26" s="4" t="s">
        <v>40</v>
      </c>
      <c r="C26" s="30">
        <v>27858.0</v>
      </c>
    </row>
    <row r="27" ht="22.5" customHeight="1">
      <c r="A27" s="4" t="s">
        <v>53</v>
      </c>
      <c r="B27" s="4" t="s">
        <v>42</v>
      </c>
      <c r="C27" s="30">
        <v>16444.0</v>
      </c>
    </row>
    <row r="28" ht="22.5" customHeight="1">
      <c r="A28" s="4" t="s">
        <v>53</v>
      </c>
      <c r="B28" s="4" t="s">
        <v>45</v>
      </c>
      <c r="C28" s="30">
        <v>15595.0</v>
      </c>
    </row>
    <row r="29" ht="22.5" customHeight="1">
      <c r="A29" s="4" t="s">
        <v>53</v>
      </c>
      <c r="B29" s="4" t="s">
        <v>40</v>
      </c>
      <c r="C29" s="30">
        <v>14430.0</v>
      </c>
    </row>
    <row r="30" ht="22.5" customHeight="1">
      <c r="A30" s="4" t="s">
        <v>53</v>
      </c>
      <c r="B30" s="4" t="s">
        <v>44</v>
      </c>
      <c r="C30" s="30">
        <v>14054.0</v>
      </c>
    </row>
  </sheetData>
  <dataValidations>
    <dataValidation type="custom" allowBlank="1" showDropDown="1" sqref="C7:C30">
      <formula1>AND(ISNUMBER(C7),(NOT(OR(NOT(ISERROR(DATEVALUE(C7))), AND(ISNUMBER(C7), LEFT(CELL("format", C7))="D")))))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7.25"/>
  </cols>
  <sheetData>
    <row r="3" ht="22.5" customHeight="1">
      <c r="A3" s="1" t="s">
        <v>38</v>
      </c>
      <c r="B3" s="1" t="s">
        <v>4</v>
      </c>
      <c r="C3" s="1" t="s">
        <v>39</v>
      </c>
    </row>
    <row r="4" ht="22.5" customHeight="1">
      <c r="A4" s="25" t="s">
        <v>40</v>
      </c>
      <c r="B4" s="26">
        <v>3.56808E7</v>
      </c>
      <c r="C4" s="11">
        <f t="shared" ref="C4:C7" si="1">B4/SUM($B$4:$B$7)</f>
        <v>0.3373758271</v>
      </c>
    </row>
    <row r="5" ht="22.5" customHeight="1">
      <c r="A5" s="25" t="s">
        <v>42</v>
      </c>
      <c r="B5" s="26">
        <v>2.7305E7</v>
      </c>
      <c r="C5" s="11">
        <f t="shared" si="1"/>
        <v>0.2581793838</v>
      </c>
    </row>
    <row r="6" ht="22.5" customHeight="1">
      <c r="A6" s="25" t="s">
        <v>44</v>
      </c>
      <c r="B6" s="26">
        <v>2.48202E7</v>
      </c>
      <c r="C6" s="11">
        <f t="shared" si="1"/>
        <v>0.2346846344</v>
      </c>
    </row>
    <row r="7" ht="22.5" customHeight="1">
      <c r="A7" s="25" t="s">
        <v>45</v>
      </c>
      <c r="B7" s="26">
        <v>1.79538E7</v>
      </c>
      <c r="C7" s="11">
        <f t="shared" si="1"/>
        <v>0.1697601546</v>
      </c>
    </row>
    <row r="8" ht="22.5" customHeight="1">
      <c r="A8" s="16" t="s">
        <v>17</v>
      </c>
      <c r="B8" s="18">
        <f>SUM(Monto_de_venta_por_cada_producto_en_Antioquia[Monto total])</f>
        <v>105759800</v>
      </c>
    </row>
  </sheetData>
  <dataValidations>
    <dataValidation type="custom" allowBlank="1" showDropDown="1" sqref="B4:C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